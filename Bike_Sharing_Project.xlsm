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6b35bc65fae1b29d/Desktop/NextHikes IT Solutions Internship Projects/"/>
    </mc:Choice>
  </mc:AlternateContent>
  <xr:revisionPtr revIDLastSave="0" documentId="8_{AF64D885-C21A-4A66-A70B-1776EAA0DCE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lean_data" sheetId="5" r:id="rId1"/>
    <sheet name="Dashboard" sheetId="13" r:id="rId2"/>
    <sheet name="Weather Impact" sheetId="9" r:id="rId3"/>
    <sheet name="Hourly Demand Analysis" sheetId="11" r:id="rId4"/>
    <sheet name="User Type Distribution" sheetId="16" r:id="rId5"/>
    <sheet name="Forecast Sheet" sheetId="18" r:id="rId6"/>
    <sheet name="AI_Sheet" sheetId="19" r:id="rId7"/>
  </sheets>
  <externalReferences>
    <externalReference r:id="rId8"/>
  </externalReferences>
  <definedNames>
    <definedName name="Slicer_mnth">#N/A</definedName>
    <definedName name="Slicer_season">#N/A</definedName>
    <definedName name="Slicer_weathersit">#N/A</definedName>
  </definedNames>
  <calcPr calcId="191029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1" i="18" l="1"/>
  <c r="D71" i="18"/>
  <c r="C71" i="18"/>
  <c r="E70" i="18"/>
  <c r="D70" i="18"/>
  <c r="C70" i="18"/>
  <c r="E69" i="18"/>
  <c r="D69" i="18"/>
  <c r="C69" i="18"/>
  <c r="E68" i="18"/>
  <c r="D68" i="18"/>
  <c r="C68" i="18"/>
  <c r="E67" i="18"/>
  <c r="D67" i="18"/>
  <c r="C67" i="18"/>
  <c r="E66" i="18"/>
  <c r="D66" i="18"/>
  <c r="C66" i="18"/>
  <c r="E65" i="18"/>
  <c r="D65" i="18"/>
  <c r="C65" i="18"/>
  <c r="E64" i="18"/>
  <c r="D64" i="18"/>
  <c r="C64" i="18"/>
  <c r="E63" i="18"/>
  <c r="D63" i="18"/>
  <c r="C63" i="18"/>
  <c r="E62" i="18"/>
  <c r="D62" i="18"/>
  <c r="C62" i="18"/>
  <c r="E61" i="18"/>
  <c r="D61" i="18"/>
  <c r="C61" i="18"/>
  <c r="E60" i="18"/>
  <c r="D60" i="18"/>
  <c r="C60" i="18"/>
  <c r="E59" i="18"/>
  <c r="D59" i="18"/>
  <c r="C59" i="18"/>
  <c r="E58" i="18"/>
  <c r="D58" i="18"/>
  <c r="C58" i="18"/>
  <c r="E57" i="18"/>
  <c r="D57" i="18"/>
  <c r="C57" i="18"/>
  <c r="E56" i="18"/>
  <c r="D56" i="18"/>
  <c r="C56" i="18"/>
  <c r="E55" i="18"/>
  <c r="D55" i="18"/>
  <c r="C55" i="18"/>
  <c r="E54" i="18"/>
  <c r="D54" i="18"/>
  <c r="C54" i="18"/>
  <c r="E53" i="18"/>
  <c r="D53" i="18"/>
  <c r="C53" i="18"/>
  <c r="E52" i="18"/>
  <c r="D52" i="18"/>
  <c r="C52" i="18"/>
  <c r="E51" i="18"/>
  <c r="D51" i="18"/>
  <c r="C51" i="18"/>
  <c r="E50" i="18"/>
  <c r="D50" i="18"/>
  <c r="C50" i="18"/>
  <c r="E49" i="18"/>
  <c r="D49" i="18"/>
  <c r="C49" i="18"/>
  <c r="E48" i="18"/>
  <c r="D48" i="18"/>
  <c r="C48" i="18"/>
  <c r="E47" i="18"/>
  <c r="D47" i="18"/>
  <c r="C47" i="18"/>
  <c r="E46" i="18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40" i="18"/>
  <c r="D40" i="18"/>
  <c r="C40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E31" i="18"/>
  <c r="D31" i="18"/>
  <c r="C31" i="18"/>
  <c r="E30" i="18"/>
  <c r="D30" i="18"/>
  <c r="C30" i="18"/>
  <c r="G2" i="13"/>
  <c r="E2" i="13"/>
  <c r="C2" i="13"/>
  <c r="A2" i="13"/>
  <c r="S611" i="5"/>
  <c r="R611" i="5"/>
  <c r="Q611" i="5"/>
  <c r="P611" i="5"/>
  <c r="O611" i="5"/>
  <c r="N611" i="5"/>
  <c r="M611" i="5"/>
  <c r="L611" i="5"/>
  <c r="K611" i="5"/>
  <c r="S610" i="5"/>
  <c r="R610" i="5"/>
  <c r="Q610" i="5"/>
  <c r="P610" i="5"/>
  <c r="O610" i="5"/>
  <c r="N610" i="5"/>
  <c r="M610" i="5"/>
  <c r="L610" i="5"/>
  <c r="K610" i="5"/>
  <c r="S609" i="5"/>
  <c r="R609" i="5"/>
  <c r="Q609" i="5"/>
  <c r="P609" i="5"/>
  <c r="O609" i="5"/>
  <c r="N609" i="5"/>
  <c r="M609" i="5"/>
  <c r="L609" i="5"/>
  <c r="K609" i="5"/>
  <c r="S608" i="5"/>
  <c r="R608" i="5"/>
  <c r="Q608" i="5"/>
  <c r="P608" i="5"/>
  <c r="O608" i="5"/>
  <c r="N608" i="5"/>
  <c r="M608" i="5"/>
  <c r="L608" i="5"/>
  <c r="K608" i="5"/>
  <c r="S607" i="5"/>
  <c r="R607" i="5"/>
  <c r="Q607" i="5"/>
  <c r="P607" i="5"/>
  <c r="O607" i="5"/>
  <c r="N607" i="5"/>
  <c r="M607" i="5"/>
  <c r="L607" i="5"/>
  <c r="K607" i="5"/>
  <c r="S606" i="5"/>
  <c r="R606" i="5"/>
  <c r="Q606" i="5"/>
  <c r="P606" i="5"/>
  <c r="O606" i="5"/>
  <c r="N606" i="5"/>
  <c r="M606" i="5"/>
  <c r="L606" i="5"/>
  <c r="K606" i="5"/>
  <c r="S605" i="5"/>
  <c r="R605" i="5"/>
  <c r="Q605" i="5"/>
  <c r="P605" i="5"/>
  <c r="O605" i="5"/>
  <c r="N605" i="5"/>
  <c r="M605" i="5"/>
  <c r="L605" i="5"/>
  <c r="K605" i="5"/>
  <c r="S604" i="5"/>
  <c r="R604" i="5"/>
  <c r="Q604" i="5"/>
  <c r="P604" i="5"/>
  <c r="O604" i="5"/>
  <c r="N604" i="5"/>
  <c r="M604" i="5"/>
  <c r="L604" i="5"/>
  <c r="K604" i="5"/>
  <c r="S603" i="5"/>
  <c r="R603" i="5"/>
  <c r="Q603" i="5"/>
  <c r="P603" i="5"/>
  <c r="O603" i="5"/>
  <c r="N603" i="5"/>
  <c r="M603" i="5"/>
  <c r="L603" i="5"/>
  <c r="K603" i="5"/>
  <c r="S602" i="5"/>
  <c r="R602" i="5"/>
  <c r="Q602" i="5"/>
  <c r="P602" i="5"/>
  <c r="O602" i="5"/>
  <c r="N602" i="5"/>
  <c r="M602" i="5"/>
  <c r="L602" i="5"/>
  <c r="K602" i="5"/>
  <c r="S601" i="5"/>
  <c r="R601" i="5"/>
  <c r="Q601" i="5"/>
  <c r="P601" i="5"/>
  <c r="O601" i="5"/>
  <c r="N601" i="5"/>
  <c r="M601" i="5"/>
  <c r="L601" i="5"/>
  <c r="K601" i="5"/>
  <c r="S600" i="5"/>
  <c r="R600" i="5"/>
  <c r="Q600" i="5"/>
  <c r="P600" i="5"/>
  <c r="O600" i="5"/>
  <c r="N600" i="5"/>
  <c r="M600" i="5"/>
  <c r="L600" i="5"/>
  <c r="K600" i="5"/>
  <c r="S599" i="5"/>
  <c r="R599" i="5"/>
  <c r="Q599" i="5"/>
  <c r="P599" i="5"/>
  <c r="O599" i="5"/>
  <c r="N599" i="5"/>
  <c r="M599" i="5"/>
  <c r="L599" i="5"/>
  <c r="K599" i="5"/>
  <c r="S598" i="5"/>
  <c r="R598" i="5"/>
  <c r="Q598" i="5"/>
  <c r="P598" i="5"/>
  <c r="O598" i="5"/>
  <c r="N598" i="5"/>
  <c r="M598" i="5"/>
  <c r="L598" i="5"/>
  <c r="K598" i="5"/>
  <c r="S597" i="5"/>
  <c r="R597" i="5"/>
  <c r="Q597" i="5"/>
  <c r="P597" i="5"/>
  <c r="O597" i="5"/>
  <c r="N597" i="5"/>
  <c r="M597" i="5"/>
  <c r="L597" i="5"/>
  <c r="K597" i="5"/>
  <c r="S596" i="5"/>
  <c r="R596" i="5"/>
  <c r="Q596" i="5"/>
  <c r="P596" i="5"/>
  <c r="O596" i="5"/>
  <c r="N596" i="5"/>
  <c r="M596" i="5"/>
  <c r="L596" i="5"/>
  <c r="K596" i="5"/>
  <c r="S595" i="5"/>
  <c r="R595" i="5"/>
  <c r="Q595" i="5"/>
  <c r="P595" i="5"/>
  <c r="O595" i="5"/>
  <c r="N595" i="5"/>
  <c r="M595" i="5"/>
  <c r="L595" i="5"/>
  <c r="K595" i="5"/>
  <c r="S594" i="5"/>
  <c r="R594" i="5"/>
  <c r="Q594" i="5"/>
  <c r="P594" i="5"/>
  <c r="O594" i="5"/>
  <c r="N594" i="5"/>
  <c r="M594" i="5"/>
  <c r="L594" i="5"/>
  <c r="K594" i="5"/>
  <c r="S593" i="5"/>
  <c r="R593" i="5"/>
  <c r="Q593" i="5"/>
  <c r="P593" i="5"/>
  <c r="O593" i="5"/>
  <c r="N593" i="5"/>
  <c r="M593" i="5"/>
  <c r="L593" i="5"/>
  <c r="K593" i="5"/>
  <c r="S592" i="5"/>
  <c r="R592" i="5"/>
  <c r="Q592" i="5"/>
  <c r="P592" i="5"/>
  <c r="O592" i="5"/>
  <c r="N592" i="5"/>
  <c r="M592" i="5"/>
  <c r="L592" i="5"/>
  <c r="K592" i="5"/>
  <c r="S591" i="5"/>
  <c r="R591" i="5"/>
  <c r="Q591" i="5"/>
  <c r="P591" i="5"/>
  <c r="O591" i="5"/>
  <c r="N591" i="5"/>
  <c r="M591" i="5"/>
  <c r="L591" i="5"/>
  <c r="K591" i="5"/>
  <c r="S590" i="5"/>
  <c r="R590" i="5"/>
  <c r="Q590" i="5"/>
  <c r="P590" i="5"/>
  <c r="O590" i="5"/>
  <c r="N590" i="5"/>
  <c r="M590" i="5"/>
  <c r="L590" i="5"/>
  <c r="K590" i="5"/>
  <c r="S589" i="5"/>
  <c r="R589" i="5"/>
  <c r="Q589" i="5"/>
  <c r="P589" i="5"/>
  <c r="O589" i="5"/>
  <c r="N589" i="5"/>
  <c r="M589" i="5"/>
  <c r="L589" i="5"/>
  <c r="K589" i="5"/>
  <c r="S588" i="5"/>
  <c r="R588" i="5"/>
  <c r="Q588" i="5"/>
  <c r="P588" i="5"/>
  <c r="O588" i="5"/>
  <c r="N588" i="5"/>
  <c r="M588" i="5"/>
  <c r="L588" i="5"/>
  <c r="K588" i="5"/>
  <c r="S587" i="5"/>
  <c r="R587" i="5"/>
  <c r="Q587" i="5"/>
  <c r="P587" i="5"/>
  <c r="O587" i="5"/>
  <c r="N587" i="5"/>
  <c r="M587" i="5"/>
  <c r="L587" i="5"/>
  <c r="K587" i="5"/>
  <c r="S586" i="5"/>
  <c r="R586" i="5"/>
  <c r="Q586" i="5"/>
  <c r="P586" i="5"/>
  <c r="O586" i="5"/>
  <c r="N586" i="5"/>
  <c r="M586" i="5"/>
  <c r="L586" i="5"/>
  <c r="K586" i="5"/>
  <c r="S585" i="5"/>
  <c r="R585" i="5"/>
  <c r="Q585" i="5"/>
  <c r="P585" i="5"/>
  <c r="O585" i="5"/>
  <c r="N585" i="5"/>
  <c r="M585" i="5"/>
  <c r="L585" i="5"/>
  <c r="K585" i="5"/>
  <c r="S584" i="5"/>
  <c r="R584" i="5"/>
  <c r="Q584" i="5"/>
  <c r="P584" i="5"/>
  <c r="O584" i="5"/>
  <c r="N584" i="5"/>
  <c r="M584" i="5"/>
  <c r="L584" i="5"/>
  <c r="K584" i="5"/>
  <c r="S583" i="5"/>
  <c r="R583" i="5"/>
  <c r="Q583" i="5"/>
  <c r="P583" i="5"/>
  <c r="O583" i="5"/>
  <c r="N583" i="5"/>
  <c r="M583" i="5"/>
  <c r="L583" i="5"/>
  <c r="K583" i="5"/>
  <c r="S582" i="5"/>
  <c r="R582" i="5"/>
  <c r="Q582" i="5"/>
  <c r="P582" i="5"/>
  <c r="O582" i="5"/>
  <c r="N582" i="5"/>
  <c r="M582" i="5"/>
  <c r="L582" i="5"/>
  <c r="K582" i="5"/>
  <c r="S581" i="5"/>
  <c r="R581" i="5"/>
  <c r="Q581" i="5"/>
  <c r="P581" i="5"/>
  <c r="O581" i="5"/>
  <c r="N581" i="5"/>
  <c r="M581" i="5"/>
  <c r="L581" i="5"/>
  <c r="K581" i="5"/>
  <c r="S580" i="5"/>
  <c r="R580" i="5"/>
  <c r="Q580" i="5"/>
  <c r="P580" i="5"/>
  <c r="O580" i="5"/>
  <c r="N580" i="5"/>
  <c r="M580" i="5"/>
  <c r="L580" i="5"/>
  <c r="K580" i="5"/>
  <c r="S579" i="5"/>
  <c r="R579" i="5"/>
  <c r="Q579" i="5"/>
  <c r="P579" i="5"/>
  <c r="O579" i="5"/>
  <c r="N579" i="5"/>
  <c r="M579" i="5"/>
  <c r="L579" i="5"/>
  <c r="K579" i="5"/>
  <c r="S578" i="5"/>
  <c r="R578" i="5"/>
  <c r="Q578" i="5"/>
  <c r="P578" i="5"/>
  <c r="O578" i="5"/>
  <c r="N578" i="5"/>
  <c r="M578" i="5"/>
  <c r="L578" i="5"/>
  <c r="K578" i="5"/>
  <c r="S577" i="5"/>
  <c r="R577" i="5"/>
  <c r="Q577" i="5"/>
  <c r="P577" i="5"/>
  <c r="O577" i="5"/>
  <c r="N577" i="5"/>
  <c r="M577" i="5"/>
  <c r="L577" i="5"/>
  <c r="K577" i="5"/>
  <c r="S576" i="5"/>
  <c r="R576" i="5"/>
  <c r="Q576" i="5"/>
  <c r="P576" i="5"/>
  <c r="O576" i="5"/>
  <c r="N576" i="5"/>
  <c r="M576" i="5"/>
  <c r="L576" i="5"/>
  <c r="K576" i="5"/>
  <c r="S575" i="5"/>
  <c r="R575" i="5"/>
  <c r="Q575" i="5"/>
  <c r="P575" i="5"/>
  <c r="O575" i="5"/>
  <c r="N575" i="5"/>
  <c r="M575" i="5"/>
  <c r="L575" i="5"/>
  <c r="K575" i="5"/>
  <c r="S574" i="5"/>
  <c r="R574" i="5"/>
  <c r="Q574" i="5"/>
  <c r="P574" i="5"/>
  <c r="O574" i="5"/>
  <c r="N574" i="5"/>
  <c r="M574" i="5"/>
  <c r="L574" i="5"/>
  <c r="K574" i="5"/>
  <c r="S573" i="5"/>
  <c r="R573" i="5"/>
  <c r="Q573" i="5"/>
  <c r="P573" i="5"/>
  <c r="O573" i="5"/>
  <c r="N573" i="5"/>
  <c r="M573" i="5"/>
  <c r="L573" i="5"/>
  <c r="K573" i="5"/>
  <c r="S572" i="5"/>
  <c r="R572" i="5"/>
  <c r="Q572" i="5"/>
  <c r="P572" i="5"/>
  <c r="O572" i="5"/>
  <c r="N572" i="5"/>
  <c r="M572" i="5"/>
  <c r="L572" i="5"/>
  <c r="K572" i="5"/>
  <c r="S571" i="5"/>
  <c r="R571" i="5"/>
  <c r="Q571" i="5"/>
  <c r="P571" i="5"/>
  <c r="O571" i="5"/>
  <c r="N571" i="5"/>
  <c r="M571" i="5"/>
  <c r="L571" i="5"/>
  <c r="K571" i="5"/>
  <c r="S570" i="5"/>
  <c r="R570" i="5"/>
  <c r="Q570" i="5"/>
  <c r="P570" i="5"/>
  <c r="O570" i="5"/>
  <c r="N570" i="5"/>
  <c r="M570" i="5"/>
  <c r="L570" i="5"/>
  <c r="K570" i="5"/>
  <c r="S569" i="5"/>
  <c r="R569" i="5"/>
  <c r="Q569" i="5"/>
  <c r="P569" i="5"/>
  <c r="O569" i="5"/>
  <c r="N569" i="5"/>
  <c r="M569" i="5"/>
  <c r="L569" i="5"/>
  <c r="K569" i="5"/>
  <c r="S568" i="5"/>
  <c r="R568" i="5"/>
  <c r="Q568" i="5"/>
  <c r="P568" i="5"/>
  <c r="O568" i="5"/>
  <c r="N568" i="5"/>
  <c r="M568" i="5"/>
  <c r="L568" i="5"/>
  <c r="K568" i="5"/>
  <c r="S567" i="5"/>
  <c r="R567" i="5"/>
  <c r="Q567" i="5"/>
  <c r="P567" i="5"/>
  <c r="O567" i="5"/>
  <c r="N567" i="5"/>
  <c r="M567" i="5"/>
  <c r="L567" i="5"/>
  <c r="K567" i="5"/>
  <c r="S566" i="5"/>
  <c r="R566" i="5"/>
  <c r="Q566" i="5"/>
  <c r="P566" i="5"/>
  <c r="O566" i="5"/>
  <c r="N566" i="5"/>
  <c r="M566" i="5"/>
  <c r="L566" i="5"/>
  <c r="K566" i="5"/>
  <c r="S565" i="5"/>
  <c r="R565" i="5"/>
  <c r="Q565" i="5"/>
  <c r="P565" i="5"/>
  <c r="O565" i="5"/>
  <c r="N565" i="5"/>
  <c r="M565" i="5"/>
  <c r="L565" i="5"/>
  <c r="K565" i="5"/>
  <c r="S564" i="5"/>
  <c r="R564" i="5"/>
  <c r="Q564" i="5"/>
  <c r="P564" i="5"/>
  <c r="O564" i="5"/>
  <c r="N564" i="5"/>
  <c r="M564" i="5"/>
  <c r="L564" i="5"/>
  <c r="K564" i="5"/>
  <c r="S563" i="5"/>
  <c r="R563" i="5"/>
  <c r="Q563" i="5"/>
  <c r="P563" i="5"/>
  <c r="O563" i="5"/>
  <c r="N563" i="5"/>
  <c r="M563" i="5"/>
  <c r="L563" i="5"/>
  <c r="K563" i="5"/>
  <c r="S562" i="5"/>
  <c r="R562" i="5"/>
  <c r="Q562" i="5"/>
  <c r="P562" i="5"/>
  <c r="O562" i="5"/>
  <c r="N562" i="5"/>
  <c r="M562" i="5"/>
  <c r="L562" i="5"/>
  <c r="K562" i="5"/>
  <c r="S561" i="5"/>
  <c r="R561" i="5"/>
  <c r="Q561" i="5"/>
  <c r="P561" i="5"/>
  <c r="O561" i="5"/>
  <c r="N561" i="5"/>
  <c r="M561" i="5"/>
  <c r="L561" i="5"/>
  <c r="K561" i="5"/>
  <c r="S560" i="5"/>
  <c r="R560" i="5"/>
  <c r="Q560" i="5"/>
  <c r="P560" i="5"/>
  <c r="O560" i="5"/>
  <c r="N560" i="5"/>
  <c r="M560" i="5"/>
  <c r="L560" i="5"/>
  <c r="K560" i="5"/>
  <c r="S559" i="5"/>
  <c r="R559" i="5"/>
  <c r="Q559" i="5"/>
  <c r="P559" i="5"/>
  <c r="O559" i="5"/>
  <c r="N559" i="5"/>
  <c r="M559" i="5"/>
  <c r="L559" i="5"/>
  <c r="K559" i="5"/>
  <c r="S558" i="5"/>
  <c r="R558" i="5"/>
  <c r="Q558" i="5"/>
  <c r="P558" i="5"/>
  <c r="O558" i="5"/>
  <c r="N558" i="5"/>
  <c r="M558" i="5"/>
  <c r="L558" i="5"/>
  <c r="K558" i="5"/>
  <c r="S557" i="5"/>
  <c r="R557" i="5"/>
  <c r="Q557" i="5"/>
  <c r="P557" i="5"/>
  <c r="O557" i="5"/>
  <c r="N557" i="5"/>
  <c r="M557" i="5"/>
  <c r="L557" i="5"/>
  <c r="K557" i="5"/>
  <c r="S556" i="5"/>
  <c r="R556" i="5"/>
  <c r="Q556" i="5"/>
  <c r="P556" i="5"/>
  <c r="O556" i="5"/>
  <c r="N556" i="5"/>
  <c r="M556" i="5"/>
  <c r="L556" i="5"/>
  <c r="K556" i="5"/>
  <c r="S555" i="5"/>
  <c r="R555" i="5"/>
  <c r="Q555" i="5"/>
  <c r="P555" i="5"/>
  <c r="O555" i="5"/>
  <c r="N555" i="5"/>
  <c r="M555" i="5"/>
  <c r="L555" i="5"/>
  <c r="K555" i="5"/>
  <c r="S554" i="5"/>
  <c r="R554" i="5"/>
  <c r="Q554" i="5"/>
  <c r="P554" i="5"/>
  <c r="O554" i="5"/>
  <c r="N554" i="5"/>
  <c r="M554" i="5"/>
  <c r="L554" i="5"/>
  <c r="K554" i="5"/>
  <c r="S553" i="5"/>
  <c r="R553" i="5"/>
  <c r="Q553" i="5"/>
  <c r="P553" i="5"/>
  <c r="O553" i="5"/>
  <c r="N553" i="5"/>
  <c r="M553" i="5"/>
  <c r="L553" i="5"/>
  <c r="K553" i="5"/>
  <c r="S552" i="5"/>
  <c r="R552" i="5"/>
  <c r="Q552" i="5"/>
  <c r="P552" i="5"/>
  <c r="O552" i="5"/>
  <c r="N552" i="5"/>
  <c r="M552" i="5"/>
  <c r="L552" i="5"/>
  <c r="K552" i="5"/>
  <c r="S551" i="5"/>
  <c r="R551" i="5"/>
  <c r="Q551" i="5"/>
  <c r="P551" i="5"/>
  <c r="O551" i="5"/>
  <c r="N551" i="5"/>
  <c r="M551" i="5"/>
  <c r="L551" i="5"/>
  <c r="K551" i="5"/>
  <c r="S550" i="5"/>
  <c r="R550" i="5"/>
  <c r="Q550" i="5"/>
  <c r="P550" i="5"/>
  <c r="O550" i="5"/>
  <c r="N550" i="5"/>
  <c r="M550" i="5"/>
  <c r="L550" i="5"/>
  <c r="K550" i="5"/>
  <c r="S549" i="5"/>
  <c r="R549" i="5"/>
  <c r="Q549" i="5"/>
  <c r="P549" i="5"/>
  <c r="O549" i="5"/>
  <c r="N549" i="5"/>
  <c r="M549" i="5"/>
  <c r="L549" i="5"/>
  <c r="K549" i="5"/>
  <c r="S548" i="5"/>
  <c r="R548" i="5"/>
  <c r="Q548" i="5"/>
  <c r="P548" i="5"/>
  <c r="O548" i="5"/>
  <c r="N548" i="5"/>
  <c r="M548" i="5"/>
  <c r="L548" i="5"/>
  <c r="K548" i="5"/>
  <c r="S547" i="5"/>
  <c r="R547" i="5"/>
  <c r="Q547" i="5"/>
  <c r="P547" i="5"/>
  <c r="O547" i="5"/>
  <c r="N547" i="5"/>
  <c r="M547" i="5"/>
  <c r="L547" i="5"/>
  <c r="K547" i="5"/>
  <c r="S546" i="5"/>
  <c r="R546" i="5"/>
  <c r="Q546" i="5"/>
  <c r="P546" i="5"/>
  <c r="O546" i="5"/>
  <c r="N546" i="5"/>
  <c r="M546" i="5"/>
  <c r="L546" i="5"/>
  <c r="K546" i="5"/>
  <c r="S545" i="5"/>
  <c r="R545" i="5"/>
  <c r="Q545" i="5"/>
  <c r="P545" i="5"/>
  <c r="O545" i="5"/>
  <c r="N545" i="5"/>
  <c r="M545" i="5"/>
  <c r="L545" i="5"/>
  <c r="K545" i="5"/>
  <c r="S544" i="5"/>
  <c r="R544" i="5"/>
  <c r="Q544" i="5"/>
  <c r="P544" i="5"/>
  <c r="O544" i="5"/>
  <c r="N544" i="5"/>
  <c r="M544" i="5"/>
  <c r="L544" i="5"/>
  <c r="K544" i="5"/>
  <c r="S543" i="5"/>
  <c r="R543" i="5"/>
  <c r="Q543" i="5"/>
  <c r="P543" i="5"/>
  <c r="O543" i="5"/>
  <c r="N543" i="5"/>
  <c r="M543" i="5"/>
  <c r="L543" i="5"/>
  <c r="K543" i="5"/>
  <c r="S542" i="5"/>
  <c r="R542" i="5"/>
  <c r="Q542" i="5"/>
  <c r="P542" i="5"/>
  <c r="O542" i="5"/>
  <c r="N542" i="5"/>
  <c r="M542" i="5"/>
  <c r="L542" i="5"/>
  <c r="K542" i="5"/>
  <c r="S541" i="5"/>
  <c r="R541" i="5"/>
  <c r="Q541" i="5"/>
  <c r="P541" i="5"/>
  <c r="O541" i="5"/>
  <c r="N541" i="5"/>
  <c r="M541" i="5"/>
  <c r="L541" i="5"/>
  <c r="K541" i="5"/>
  <c r="S540" i="5"/>
  <c r="R540" i="5"/>
  <c r="Q540" i="5"/>
  <c r="P540" i="5"/>
  <c r="O540" i="5"/>
  <c r="N540" i="5"/>
  <c r="M540" i="5"/>
  <c r="L540" i="5"/>
  <c r="K540" i="5"/>
  <c r="S539" i="5"/>
  <c r="R539" i="5"/>
  <c r="Q539" i="5"/>
  <c r="P539" i="5"/>
  <c r="O539" i="5"/>
  <c r="N539" i="5"/>
  <c r="M539" i="5"/>
  <c r="L539" i="5"/>
  <c r="K539" i="5"/>
  <c r="S538" i="5"/>
  <c r="R538" i="5"/>
  <c r="Q538" i="5"/>
  <c r="P538" i="5"/>
  <c r="O538" i="5"/>
  <c r="N538" i="5"/>
  <c r="M538" i="5"/>
  <c r="L538" i="5"/>
  <c r="K538" i="5"/>
  <c r="S537" i="5"/>
  <c r="R537" i="5"/>
  <c r="Q537" i="5"/>
  <c r="P537" i="5"/>
  <c r="O537" i="5"/>
  <c r="N537" i="5"/>
  <c r="M537" i="5"/>
  <c r="L537" i="5"/>
  <c r="K537" i="5"/>
  <c r="S536" i="5"/>
  <c r="R536" i="5"/>
  <c r="Q536" i="5"/>
  <c r="P536" i="5"/>
  <c r="O536" i="5"/>
  <c r="N536" i="5"/>
  <c r="M536" i="5"/>
  <c r="L536" i="5"/>
  <c r="K536" i="5"/>
  <c r="S535" i="5"/>
  <c r="R535" i="5"/>
  <c r="Q535" i="5"/>
  <c r="P535" i="5"/>
  <c r="O535" i="5"/>
  <c r="N535" i="5"/>
  <c r="M535" i="5"/>
  <c r="L535" i="5"/>
  <c r="K535" i="5"/>
  <c r="S534" i="5"/>
  <c r="R534" i="5"/>
  <c r="Q534" i="5"/>
  <c r="P534" i="5"/>
  <c r="O534" i="5"/>
  <c r="N534" i="5"/>
  <c r="M534" i="5"/>
  <c r="L534" i="5"/>
  <c r="K534" i="5"/>
  <c r="S533" i="5"/>
  <c r="R533" i="5"/>
  <c r="Q533" i="5"/>
  <c r="P533" i="5"/>
  <c r="O533" i="5"/>
  <c r="N533" i="5"/>
  <c r="M533" i="5"/>
  <c r="L533" i="5"/>
  <c r="K533" i="5"/>
  <c r="S532" i="5"/>
  <c r="R532" i="5"/>
  <c r="Q532" i="5"/>
  <c r="P532" i="5"/>
  <c r="O532" i="5"/>
  <c r="N532" i="5"/>
  <c r="M532" i="5"/>
  <c r="L532" i="5"/>
  <c r="K532" i="5"/>
  <c r="S531" i="5"/>
  <c r="R531" i="5"/>
  <c r="Q531" i="5"/>
  <c r="P531" i="5"/>
  <c r="O531" i="5"/>
  <c r="N531" i="5"/>
  <c r="M531" i="5"/>
  <c r="L531" i="5"/>
  <c r="K531" i="5"/>
  <c r="S530" i="5"/>
  <c r="R530" i="5"/>
  <c r="Q530" i="5"/>
  <c r="P530" i="5"/>
  <c r="O530" i="5"/>
  <c r="N530" i="5"/>
  <c r="M530" i="5"/>
  <c r="L530" i="5"/>
  <c r="K530" i="5"/>
  <c r="S529" i="5"/>
  <c r="R529" i="5"/>
  <c r="Q529" i="5"/>
  <c r="P529" i="5"/>
  <c r="O529" i="5"/>
  <c r="N529" i="5"/>
  <c r="M529" i="5"/>
  <c r="L529" i="5"/>
  <c r="K529" i="5"/>
  <c r="S528" i="5"/>
  <c r="R528" i="5"/>
  <c r="Q528" i="5"/>
  <c r="P528" i="5"/>
  <c r="O528" i="5"/>
  <c r="N528" i="5"/>
  <c r="M528" i="5"/>
  <c r="L528" i="5"/>
  <c r="K528" i="5"/>
  <c r="S527" i="5"/>
  <c r="R527" i="5"/>
  <c r="Q527" i="5"/>
  <c r="P527" i="5"/>
  <c r="O527" i="5"/>
  <c r="N527" i="5"/>
  <c r="M527" i="5"/>
  <c r="L527" i="5"/>
  <c r="K527" i="5"/>
  <c r="S526" i="5"/>
  <c r="R526" i="5"/>
  <c r="Q526" i="5"/>
  <c r="P526" i="5"/>
  <c r="O526" i="5"/>
  <c r="N526" i="5"/>
  <c r="M526" i="5"/>
  <c r="L526" i="5"/>
  <c r="K526" i="5"/>
  <c r="S525" i="5"/>
  <c r="R525" i="5"/>
  <c r="Q525" i="5"/>
  <c r="P525" i="5"/>
  <c r="O525" i="5"/>
  <c r="N525" i="5"/>
  <c r="M525" i="5"/>
  <c r="L525" i="5"/>
  <c r="K525" i="5"/>
  <c r="S524" i="5"/>
  <c r="R524" i="5"/>
  <c r="Q524" i="5"/>
  <c r="P524" i="5"/>
  <c r="O524" i="5"/>
  <c r="N524" i="5"/>
  <c r="M524" i="5"/>
  <c r="L524" i="5"/>
  <c r="K524" i="5"/>
  <c r="S523" i="5"/>
  <c r="R523" i="5"/>
  <c r="Q523" i="5"/>
  <c r="P523" i="5"/>
  <c r="O523" i="5"/>
  <c r="N523" i="5"/>
  <c r="M523" i="5"/>
  <c r="L523" i="5"/>
  <c r="K523" i="5"/>
  <c r="S522" i="5"/>
  <c r="R522" i="5"/>
  <c r="Q522" i="5"/>
  <c r="P522" i="5"/>
  <c r="O522" i="5"/>
  <c r="N522" i="5"/>
  <c r="M522" i="5"/>
  <c r="L522" i="5"/>
  <c r="K522" i="5"/>
  <c r="S521" i="5"/>
  <c r="R521" i="5"/>
  <c r="Q521" i="5"/>
  <c r="P521" i="5"/>
  <c r="O521" i="5"/>
  <c r="N521" i="5"/>
  <c r="M521" i="5"/>
  <c r="L521" i="5"/>
  <c r="K521" i="5"/>
  <c r="S520" i="5"/>
  <c r="R520" i="5"/>
  <c r="Q520" i="5"/>
  <c r="P520" i="5"/>
  <c r="O520" i="5"/>
  <c r="N520" i="5"/>
  <c r="M520" i="5"/>
  <c r="L520" i="5"/>
  <c r="K520" i="5"/>
  <c r="S519" i="5"/>
  <c r="R519" i="5"/>
  <c r="Q519" i="5"/>
  <c r="P519" i="5"/>
  <c r="O519" i="5"/>
  <c r="N519" i="5"/>
  <c r="M519" i="5"/>
  <c r="L519" i="5"/>
  <c r="K519" i="5"/>
  <c r="S518" i="5"/>
  <c r="R518" i="5"/>
  <c r="Q518" i="5"/>
  <c r="P518" i="5"/>
  <c r="O518" i="5"/>
  <c r="N518" i="5"/>
  <c r="M518" i="5"/>
  <c r="L518" i="5"/>
  <c r="K518" i="5"/>
  <c r="S517" i="5"/>
  <c r="R517" i="5"/>
  <c r="Q517" i="5"/>
  <c r="P517" i="5"/>
  <c r="O517" i="5"/>
  <c r="N517" i="5"/>
  <c r="M517" i="5"/>
  <c r="L517" i="5"/>
  <c r="K517" i="5"/>
  <c r="S516" i="5"/>
  <c r="R516" i="5"/>
  <c r="Q516" i="5"/>
  <c r="P516" i="5"/>
  <c r="O516" i="5"/>
  <c r="N516" i="5"/>
  <c r="M516" i="5"/>
  <c r="L516" i="5"/>
  <c r="K516" i="5"/>
  <c r="S515" i="5"/>
  <c r="R515" i="5"/>
  <c r="Q515" i="5"/>
  <c r="P515" i="5"/>
  <c r="O515" i="5"/>
  <c r="N515" i="5"/>
  <c r="M515" i="5"/>
  <c r="L515" i="5"/>
  <c r="K515" i="5"/>
  <c r="S514" i="5"/>
  <c r="R514" i="5"/>
  <c r="Q514" i="5"/>
  <c r="P514" i="5"/>
  <c r="O514" i="5"/>
  <c r="N514" i="5"/>
  <c r="M514" i="5"/>
  <c r="L514" i="5"/>
  <c r="K514" i="5"/>
  <c r="S513" i="5"/>
  <c r="R513" i="5"/>
  <c r="Q513" i="5"/>
  <c r="P513" i="5"/>
  <c r="O513" i="5"/>
  <c r="N513" i="5"/>
  <c r="M513" i="5"/>
  <c r="L513" i="5"/>
  <c r="K513" i="5"/>
  <c r="S512" i="5"/>
  <c r="R512" i="5"/>
  <c r="Q512" i="5"/>
  <c r="P512" i="5"/>
  <c r="O512" i="5"/>
  <c r="N512" i="5"/>
  <c r="M512" i="5"/>
  <c r="L512" i="5"/>
  <c r="K512" i="5"/>
  <c r="S511" i="5"/>
  <c r="R511" i="5"/>
  <c r="Q511" i="5"/>
  <c r="P511" i="5"/>
  <c r="O511" i="5"/>
  <c r="N511" i="5"/>
  <c r="M511" i="5"/>
  <c r="L511" i="5"/>
  <c r="K511" i="5"/>
  <c r="S510" i="5"/>
  <c r="R510" i="5"/>
  <c r="Q510" i="5"/>
  <c r="P510" i="5"/>
  <c r="O510" i="5"/>
  <c r="N510" i="5"/>
  <c r="M510" i="5"/>
  <c r="L510" i="5"/>
  <c r="K510" i="5"/>
  <c r="S509" i="5"/>
  <c r="R509" i="5"/>
  <c r="Q509" i="5"/>
  <c r="P509" i="5"/>
  <c r="O509" i="5"/>
  <c r="N509" i="5"/>
  <c r="M509" i="5"/>
  <c r="L509" i="5"/>
  <c r="K509" i="5"/>
  <c r="S508" i="5"/>
  <c r="R508" i="5"/>
  <c r="Q508" i="5"/>
  <c r="P508" i="5"/>
  <c r="O508" i="5"/>
  <c r="N508" i="5"/>
  <c r="M508" i="5"/>
  <c r="L508" i="5"/>
  <c r="K508" i="5"/>
  <c r="S507" i="5"/>
  <c r="R507" i="5"/>
  <c r="Q507" i="5"/>
  <c r="P507" i="5"/>
  <c r="O507" i="5"/>
  <c r="N507" i="5"/>
  <c r="M507" i="5"/>
  <c r="L507" i="5"/>
  <c r="K507" i="5"/>
  <c r="S506" i="5"/>
  <c r="R506" i="5"/>
  <c r="Q506" i="5"/>
  <c r="P506" i="5"/>
  <c r="O506" i="5"/>
  <c r="N506" i="5"/>
  <c r="M506" i="5"/>
  <c r="L506" i="5"/>
  <c r="K506" i="5"/>
  <c r="S505" i="5"/>
  <c r="R505" i="5"/>
  <c r="Q505" i="5"/>
  <c r="P505" i="5"/>
  <c r="O505" i="5"/>
  <c r="N505" i="5"/>
  <c r="M505" i="5"/>
  <c r="L505" i="5"/>
  <c r="K505" i="5"/>
  <c r="S504" i="5"/>
  <c r="R504" i="5"/>
  <c r="Q504" i="5"/>
  <c r="P504" i="5"/>
  <c r="O504" i="5"/>
  <c r="N504" i="5"/>
  <c r="M504" i="5"/>
  <c r="L504" i="5"/>
  <c r="K504" i="5"/>
  <c r="S503" i="5"/>
  <c r="R503" i="5"/>
  <c r="Q503" i="5"/>
  <c r="P503" i="5"/>
  <c r="O503" i="5"/>
  <c r="N503" i="5"/>
  <c r="M503" i="5"/>
  <c r="L503" i="5"/>
  <c r="K503" i="5"/>
  <c r="S502" i="5"/>
  <c r="R502" i="5"/>
  <c r="Q502" i="5"/>
  <c r="P502" i="5"/>
  <c r="O502" i="5"/>
  <c r="N502" i="5"/>
  <c r="M502" i="5"/>
  <c r="L502" i="5"/>
  <c r="K502" i="5"/>
  <c r="S501" i="5"/>
  <c r="R501" i="5"/>
  <c r="Q501" i="5"/>
  <c r="P501" i="5"/>
  <c r="O501" i="5"/>
  <c r="N501" i="5"/>
  <c r="M501" i="5"/>
  <c r="L501" i="5"/>
  <c r="K501" i="5"/>
  <c r="S500" i="5"/>
  <c r="R500" i="5"/>
  <c r="Q500" i="5"/>
  <c r="P500" i="5"/>
  <c r="O500" i="5"/>
  <c r="N500" i="5"/>
  <c r="M500" i="5"/>
  <c r="L500" i="5"/>
  <c r="K500" i="5"/>
  <c r="S499" i="5"/>
  <c r="R499" i="5"/>
  <c r="Q499" i="5"/>
  <c r="P499" i="5"/>
  <c r="O499" i="5"/>
  <c r="N499" i="5"/>
  <c r="M499" i="5"/>
  <c r="L499" i="5"/>
  <c r="K499" i="5"/>
  <c r="S498" i="5"/>
  <c r="R498" i="5"/>
  <c r="Q498" i="5"/>
  <c r="P498" i="5"/>
  <c r="O498" i="5"/>
  <c r="N498" i="5"/>
  <c r="M498" i="5"/>
  <c r="L498" i="5"/>
  <c r="K498" i="5"/>
  <c r="S497" i="5"/>
  <c r="R497" i="5"/>
  <c r="Q497" i="5"/>
  <c r="P497" i="5"/>
  <c r="O497" i="5"/>
  <c r="N497" i="5"/>
  <c r="M497" i="5"/>
  <c r="L497" i="5"/>
  <c r="K497" i="5"/>
  <c r="S496" i="5"/>
  <c r="R496" i="5"/>
  <c r="Q496" i="5"/>
  <c r="P496" i="5"/>
  <c r="O496" i="5"/>
  <c r="N496" i="5"/>
  <c r="M496" i="5"/>
  <c r="L496" i="5"/>
  <c r="K496" i="5"/>
  <c r="S495" i="5"/>
  <c r="R495" i="5"/>
  <c r="Q495" i="5"/>
  <c r="P495" i="5"/>
  <c r="O495" i="5"/>
  <c r="N495" i="5"/>
  <c r="M495" i="5"/>
  <c r="L495" i="5"/>
  <c r="K495" i="5"/>
  <c r="S494" i="5"/>
  <c r="R494" i="5"/>
  <c r="Q494" i="5"/>
  <c r="P494" i="5"/>
  <c r="O494" i="5"/>
  <c r="N494" i="5"/>
  <c r="M494" i="5"/>
  <c r="L494" i="5"/>
  <c r="K494" i="5"/>
  <c r="S493" i="5"/>
  <c r="R493" i="5"/>
  <c r="Q493" i="5"/>
  <c r="P493" i="5"/>
  <c r="O493" i="5"/>
  <c r="N493" i="5"/>
  <c r="M493" i="5"/>
  <c r="L493" i="5"/>
  <c r="K493" i="5"/>
  <c r="S492" i="5"/>
  <c r="R492" i="5"/>
  <c r="Q492" i="5"/>
  <c r="P492" i="5"/>
  <c r="O492" i="5"/>
  <c r="N492" i="5"/>
  <c r="M492" i="5"/>
  <c r="L492" i="5"/>
  <c r="K492" i="5"/>
  <c r="S491" i="5"/>
  <c r="R491" i="5"/>
  <c r="Q491" i="5"/>
  <c r="P491" i="5"/>
  <c r="O491" i="5"/>
  <c r="N491" i="5"/>
  <c r="M491" i="5"/>
  <c r="L491" i="5"/>
  <c r="K491" i="5"/>
  <c r="S490" i="5"/>
  <c r="R490" i="5"/>
  <c r="Q490" i="5"/>
  <c r="P490" i="5"/>
  <c r="O490" i="5"/>
  <c r="N490" i="5"/>
  <c r="M490" i="5"/>
  <c r="L490" i="5"/>
  <c r="K490" i="5"/>
  <c r="S489" i="5"/>
  <c r="R489" i="5"/>
  <c r="Q489" i="5"/>
  <c r="P489" i="5"/>
  <c r="O489" i="5"/>
  <c r="N489" i="5"/>
  <c r="M489" i="5"/>
  <c r="L489" i="5"/>
  <c r="K489" i="5"/>
  <c r="S488" i="5"/>
  <c r="R488" i="5"/>
  <c r="Q488" i="5"/>
  <c r="P488" i="5"/>
  <c r="O488" i="5"/>
  <c r="N488" i="5"/>
  <c r="M488" i="5"/>
  <c r="L488" i="5"/>
  <c r="K488" i="5"/>
  <c r="S487" i="5"/>
  <c r="R487" i="5"/>
  <c r="Q487" i="5"/>
  <c r="P487" i="5"/>
  <c r="O487" i="5"/>
  <c r="N487" i="5"/>
  <c r="M487" i="5"/>
  <c r="L487" i="5"/>
  <c r="K487" i="5"/>
  <c r="S486" i="5"/>
  <c r="R486" i="5"/>
  <c r="Q486" i="5"/>
  <c r="P486" i="5"/>
  <c r="O486" i="5"/>
  <c r="N486" i="5"/>
  <c r="M486" i="5"/>
  <c r="L486" i="5"/>
  <c r="K486" i="5"/>
  <c r="S485" i="5"/>
  <c r="R485" i="5"/>
  <c r="Q485" i="5"/>
  <c r="P485" i="5"/>
  <c r="O485" i="5"/>
  <c r="N485" i="5"/>
  <c r="M485" i="5"/>
  <c r="L485" i="5"/>
  <c r="K485" i="5"/>
  <c r="S484" i="5"/>
  <c r="R484" i="5"/>
  <c r="Q484" i="5"/>
  <c r="P484" i="5"/>
  <c r="O484" i="5"/>
  <c r="N484" i="5"/>
  <c r="M484" i="5"/>
  <c r="L484" i="5"/>
  <c r="K484" i="5"/>
  <c r="S483" i="5"/>
  <c r="R483" i="5"/>
  <c r="Q483" i="5"/>
  <c r="P483" i="5"/>
  <c r="O483" i="5"/>
  <c r="N483" i="5"/>
  <c r="M483" i="5"/>
  <c r="L483" i="5"/>
  <c r="K483" i="5"/>
  <c r="S482" i="5"/>
  <c r="R482" i="5"/>
  <c r="Q482" i="5"/>
  <c r="P482" i="5"/>
  <c r="O482" i="5"/>
  <c r="N482" i="5"/>
  <c r="M482" i="5"/>
  <c r="L482" i="5"/>
  <c r="K482" i="5"/>
  <c r="S481" i="5"/>
  <c r="R481" i="5"/>
  <c r="Q481" i="5"/>
  <c r="P481" i="5"/>
  <c r="O481" i="5"/>
  <c r="N481" i="5"/>
  <c r="M481" i="5"/>
  <c r="L481" i="5"/>
  <c r="K481" i="5"/>
  <c r="S480" i="5"/>
  <c r="R480" i="5"/>
  <c r="Q480" i="5"/>
  <c r="P480" i="5"/>
  <c r="O480" i="5"/>
  <c r="N480" i="5"/>
  <c r="M480" i="5"/>
  <c r="L480" i="5"/>
  <c r="K480" i="5"/>
  <c r="S479" i="5"/>
  <c r="R479" i="5"/>
  <c r="Q479" i="5"/>
  <c r="P479" i="5"/>
  <c r="O479" i="5"/>
  <c r="N479" i="5"/>
  <c r="M479" i="5"/>
  <c r="L479" i="5"/>
  <c r="K479" i="5"/>
  <c r="S478" i="5"/>
  <c r="R478" i="5"/>
  <c r="Q478" i="5"/>
  <c r="P478" i="5"/>
  <c r="O478" i="5"/>
  <c r="N478" i="5"/>
  <c r="M478" i="5"/>
  <c r="L478" i="5"/>
  <c r="K478" i="5"/>
  <c r="S477" i="5"/>
  <c r="R477" i="5"/>
  <c r="Q477" i="5"/>
  <c r="P477" i="5"/>
  <c r="O477" i="5"/>
  <c r="N477" i="5"/>
  <c r="M477" i="5"/>
  <c r="L477" i="5"/>
  <c r="K477" i="5"/>
  <c r="S476" i="5"/>
  <c r="R476" i="5"/>
  <c r="Q476" i="5"/>
  <c r="P476" i="5"/>
  <c r="O476" i="5"/>
  <c r="N476" i="5"/>
  <c r="M476" i="5"/>
  <c r="L476" i="5"/>
  <c r="K476" i="5"/>
  <c r="S475" i="5"/>
  <c r="R475" i="5"/>
  <c r="Q475" i="5"/>
  <c r="P475" i="5"/>
  <c r="O475" i="5"/>
  <c r="N475" i="5"/>
  <c r="M475" i="5"/>
  <c r="L475" i="5"/>
  <c r="K475" i="5"/>
  <c r="S474" i="5"/>
  <c r="R474" i="5"/>
  <c r="Q474" i="5"/>
  <c r="P474" i="5"/>
  <c r="O474" i="5"/>
  <c r="N474" i="5"/>
  <c r="M474" i="5"/>
  <c r="L474" i="5"/>
  <c r="K474" i="5"/>
  <c r="S473" i="5"/>
  <c r="R473" i="5"/>
  <c r="Q473" i="5"/>
  <c r="P473" i="5"/>
  <c r="O473" i="5"/>
  <c r="N473" i="5"/>
  <c r="M473" i="5"/>
  <c r="L473" i="5"/>
  <c r="K473" i="5"/>
  <c r="S472" i="5"/>
  <c r="R472" i="5"/>
  <c r="Q472" i="5"/>
  <c r="P472" i="5"/>
  <c r="O472" i="5"/>
  <c r="N472" i="5"/>
  <c r="M472" i="5"/>
  <c r="L472" i="5"/>
  <c r="K472" i="5"/>
  <c r="S471" i="5"/>
  <c r="R471" i="5"/>
  <c r="Q471" i="5"/>
  <c r="P471" i="5"/>
  <c r="O471" i="5"/>
  <c r="N471" i="5"/>
  <c r="M471" i="5"/>
  <c r="L471" i="5"/>
  <c r="K471" i="5"/>
  <c r="S470" i="5"/>
  <c r="R470" i="5"/>
  <c r="Q470" i="5"/>
  <c r="P470" i="5"/>
  <c r="O470" i="5"/>
  <c r="N470" i="5"/>
  <c r="M470" i="5"/>
  <c r="L470" i="5"/>
  <c r="K470" i="5"/>
  <c r="S469" i="5"/>
  <c r="R469" i="5"/>
  <c r="Q469" i="5"/>
  <c r="P469" i="5"/>
  <c r="O469" i="5"/>
  <c r="N469" i="5"/>
  <c r="M469" i="5"/>
  <c r="L469" i="5"/>
  <c r="K469" i="5"/>
  <c r="S468" i="5"/>
  <c r="R468" i="5"/>
  <c r="Q468" i="5"/>
  <c r="P468" i="5"/>
  <c r="O468" i="5"/>
  <c r="N468" i="5"/>
  <c r="M468" i="5"/>
  <c r="L468" i="5"/>
  <c r="K468" i="5"/>
  <c r="S467" i="5"/>
  <c r="R467" i="5"/>
  <c r="Q467" i="5"/>
  <c r="P467" i="5"/>
  <c r="O467" i="5"/>
  <c r="N467" i="5"/>
  <c r="M467" i="5"/>
  <c r="L467" i="5"/>
  <c r="K467" i="5"/>
  <c r="S466" i="5"/>
  <c r="R466" i="5"/>
  <c r="Q466" i="5"/>
  <c r="P466" i="5"/>
  <c r="O466" i="5"/>
  <c r="N466" i="5"/>
  <c r="M466" i="5"/>
  <c r="L466" i="5"/>
  <c r="K466" i="5"/>
  <c r="S465" i="5"/>
  <c r="R465" i="5"/>
  <c r="Q465" i="5"/>
  <c r="P465" i="5"/>
  <c r="O465" i="5"/>
  <c r="N465" i="5"/>
  <c r="M465" i="5"/>
  <c r="L465" i="5"/>
  <c r="K465" i="5"/>
  <c r="S464" i="5"/>
  <c r="R464" i="5"/>
  <c r="Q464" i="5"/>
  <c r="P464" i="5"/>
  <c r="O464" i="5"/>
  <c r="N464" i="5"/>
  <c r="M464" i="5"/>
  <c r="L464" i="5"/>
  <c r="K464" i="5"/>
  <c r="S463" i="5"/>
  <c r="R463" i="5"/>
  <c r="Q463" i="5"/>
  <c r="P463" i="5"/>
  <c r="O463" i="5"/>
  <c r="N463" i="5"/>
  <c r="M463" i="5"/>
  <c r="L463" i="5"/>
  <c r="K463" i="5"/>
  <c r="S462" i="5"/>
  <c r="R462" i="5"/>
  <c r="Q462" i="5"/>
  <c r="P462" i="5"/>
  <c r="O462" i="5"/>
  <c r="N462" i="5"/>
  <c r="M462" i="5"/>
  <c r="L462" i="5"/>
  <c r="K462" i="5"/>
  <c r="S461" i="5"/>
  <c r="R461" i="5"/>
  <c r="Q461" i="5"/>
  <c r="P461" i="5"/>
  <c r="O461" i="5"/>
  <c r="N461" i="5"/>
  <c r="M461" i="5"/>
  <c r="L461" i="5"/>
  <c r="K461" i="5"/>
  <c r="S460" i="5"/>
  <c r="R460" i="5"/>
  <c r="Q460" i="5"/>
  <c r="P460" i="5"/>
  <c r="O460" i="5"/>
  <c r="N460" i="5"/>
  <c r="M460" i="5"/>
  <c r="L460" i="5"/>
  <c r="K460" i="5"/>
  <c r="S459" i="5"/>
  <c r="R459" i="5"/>
  <c r="Q459" i="5"/>
  <c r="P459" i="5"/>
  <c r="O459" i="5"/>
  <c r="N459" i="5"/>
  <c r="M459" i="5"/>
  <c r="L459" i="5"/>
  <c r="K459" i="5"/>
  <c r="S458" i="5"/>
  <c r="R458" i="5"/>
  <c r="Q458" i="5"/>
  <c r="P458" i="5"/>
  <c r="O458" i="5"/>
  <c r="N458" i="5"/>
  <c r="M458" i="5"/>
  <c r="L458" i="5"/>
  <c r="K458" i="5"/>
  <c r="S457" i="5"/>
  <c r="R457" i="5"/>
  <c r="Q457" i="5"/>
  <c r="P457" i="5"/>
  <c r="O457" i="5"/>
  <c r="N457" i="5"/>
  <c r="M457" i="5"/>
  <c r="L457" i="5"/>
  <c r="K457" i="5"/>
  <c r="S456" i="5"/>
  <c r="R456" i="5"/>
  <c r="Q456" i="5"/>
  <c r="P456" i="5"/>
  <c r="O456" i="5"/>
  <c r="N456" i="5"/>
  <c r="M456" i="5"/>
  <c r="L456" i="5"/>
  <c r="K456" i="5"/>
  <c r="S455" i="5"/>
  <c r="R455" i="5"/>
  <c r="Q455" i="5"/>
  <c r="P455" i="5"/>
  <c r="O455" i="5"/>
  <c r="N455" i="5"/>
  <c r="M455" i="5"/>
  <c r="L455" i="5"/>
  <c r="K455" i="5"/>
  <c r="S454" i="5"/>
  <c r="R454" i="5"/>
  <c r="Q454" i="5"/>
  <c r="P454" i="5"/>
  <c r="O454" i="5"/>
  <c r="N454" i="5"/>
  <c r="M454" i="5"/>
  <c r="L454" i="5"/>
  <c r="K454" i="5"/>
  <c r="S453" i="5"/>
  <c r="R453" i="5"/>
  <c r="Q453" i="5"/>
  <c r="P453" i="5"/>
  <c r="O453" i="5"/>
  <c r="N453" i="5"/>
  <c r="M453" i="5"/>
  <c r="L453" i="5"/>
  <c r="K453" i="5"/>
  <c r="S452" i="5"/>
  <c r="R452" i="5"/>
  <c r="Q452" i="5"/>
  <c r="P452" i="5"/>
  <c r="O452" i="5"/>
  <c r="N452" i="5"/>
  <c r="M452" i="5"/>
  <c r="L452" i="5"/>
  <c r="K452" i="5"/>
  <c r="S451" i="5"/>
  <c r="R451" i="5"/>
  <c r="Q451" i="5"/>
  <c r="P451" i="5"/>
  <c r="O451" i="5"/>
  <c r="N451" i="5"/>
  <c r="M451" i="5"/>
  <c r="L451" i="5"/>
  <c r="K451" i="5"/>
  <c r="S450" i="5"/>
  <c r="R450" i="5"/>
  <c r="Q450" i="5"/>
  <c r="P450" i="5"/>
  <c r="O450" i="5"/>
  <c r="N450" i="5"/>
  <c r="M450" i="5"/>
  <c r="L450" i="5"/>
  <c r="K450" i="5"/>
  <c r="S449" i="5"/>
  <c r="R449" i="5"/>
  <c r="Q449" i="5"/>
  <c r="P449" i="5"/>
  <c r="O449" i="5"/>
  <c r="N449" i="5"/>
  <c r="M449" i="5"/>
  <c r="L449" i="5"/>
  <c r="K449" i="5"/>
  <c r="S448" i="5"/>
  <c r="R448" i="5"/>
  <c r="Q448" i="5"/>
  <c r="P448" i="5"/>
  <c r="O448" i="5"/>
  <c r="N448" i="5"/>
  <c r="M448" i="5"/>
  <c r="L448" i="5"/>
  <c r="K448" i="5"/>
  <c r="S447" i="5"/>
  <c r="R447" i="5"/>
  <c r="Q447" i="5"/>
  <c r="P447" i="5"/>
  <c r="O447" i="5"/>
  <c r="N447" i="5"/>
  <c r="M447" i="5"/>
  <c r="L447" i="5"/>
  <c r="K447" i="5"/>
  <c r="S446" i="5"/>
  <c r="R446" i="5"/>
  <c r="Q446" i="5"/>
  <c r="P446" i="5"/>
  <c r="O446" i="5"/>
  <c r="N446" i="5"/>
  <c r="M446" i="5"/>
  <c r="L446" i="5"/>
  <c r="K446" i="5"/>
  <c r="S445" i="5"/>
  <c r="R445" i="5"/>
  <c r="Q445" i="5"/>
  <c r="P445" i="5"/>
  <c r="O445" i="5"/>
  <c r="N445" i="5"/>
  <c r="M445" i="5"/>
  <c r="L445" i="5"/>
  <c r="K445" i="5"/>
  <c r="S444" i="5"/>
  <c r="R444" i="5"/>
  <c r="Q444" i="5"/>
  <c r="P444" i="5"/>
  <c r="O444" i="5"/>
  <c r="N444" i="5"/>
  <c r="M444" i="5"/>
  <c r="L444" i="5"/>
  <c r="K444" i="5"/>
  <c r="S443" i="5"/>
  <c r="R443" i="5"/>
  <c r="Q443" i="5"/>
  <c r="P443" i="5"/>
  <c r="O443" i="5"/>
  <c r="N443" i="5"/>
  <c r="M443" i="5"/>
  <c r="L443" i="5"/>
  <c r="K443" i="5"/>
  <c r="S442" i="5"/>
  <c r="R442" i="5"/>
  <c r="Q442" i="5"/>
  <c r="P442" i="5"/>
  <c r="O442" i="5"/>
  <c r="N442" i="5"/>
  <c r="M442" i="5"/>
  <c r="L442" i="5"/>
  <c r="K442" i="5"/>
  <c r="S441" i="5"/>
  <c r="R441" i="5"/>
  <c r="Q441" i="5"/>
  <c r="P441" i="5"/>
  <c r="O441" i="5"/>
  <c r="N441" i="5"/>
  <c r="M441" i="5"/>
  <c r="L441" i="5"/>
  <c r="K441" i="5"/>
  <c r="S440" i="5"/>
  <c r="R440" i="5"/>
  <c r="Q440" i="5"/>
  <c r="P440" i="5"/>
  <c r="O440" i="5"/>
  <c r="N440" i="5"/>
  <c r="M440" i="5"/>
  <c r="L440" i="5"/>
  <c r="K440" i="5"/>
  <c r="S439" i="5"/>
  <c r="R439" i="5"/>
  <c r="Q439" i="5"/>
  <c r="P439" i="5"/>
  <c r="O439" i="5"/>
  <c r="N439" i="5"/>
  <c r="M439" i="5"/>
  <c r="L439" i="5"/>
  <c r="K439" i="5"/>
  <c r="S438" i="5"/>
  <c r="R438" i="5"/>
  <c r="Q438" i="5"/>
  <c r="P438" i="5"/>
  <c r="O438" i="5"/>
  <c r="N438" i="5"/>
  <c r="M438" i="5"/>
  <c r="L438" i="5"/>
  <c r="K438" i="5"/>
  <c r="S437" i="5"/>
  <c r="R437" i="5"/>
  <c r="Q437" i="5"/>
  <c r="P437" i="5"/>
  <c r="O437" i="5"/>
  <c r="N437" i="5"/>
  <c r="M437" i="5"/>
  <c r="L437" i="5"/>
  <c r="K437" i="5"/>
  <c r="S436" i="5"/>
  <c r="R436" i="5"/>
  <c r="Q436" i="5"/>
  <c r="P436" i="5"/>
  <c r="O436" i="5"/>
  <c r="N436" i="5"/>
  <c r="M436" i="5"/>
  <c r="L436" i="5"/>
  <c r="K436" i="5"/>
  <c r="S435" i="5"/>
  <c r="R435" i="5"/>
  <c r="Q435" i="5"/>
  <c r="P435" i="5"/>
  <c r="O435" i="5"/>
  <c r="N435" i="5"/>
  <c r="M435" i="5"/>
  <c r="L435" i="5"/>
  <c r="K435" i="5"/>
  <c r="S434" i="5"/>
  <c r="R434" i="5"/>
  <c r="Q434" i="5"/>
  <c r="P434" i="5"/>
  <c r="O434" i="5"/>
  <c r="N434" i="5"/>
  <c r="M434" i="5"/>
  <c r="L434" i="5"/>
  <c r="K434" i="5"/>
  <c r="S433" i="5"/>
  <c r="R433" i="5"/>
  <c r="Q433" i="5"/>
  <c r="P433" i="5"/>
  <c r="O433" i="5"/>
  <c r="N433" i="5"/>
  <c r="M433" i="5"/>
  <c r="L433" i="5"/>
  <c r="K433" i="5"/>
  <c r="S432" i="5"/>
  <c r="R432" i="5"/>
  <c r="Q432" i="5"/>
  <c r="P432" i="5"/>
  <c r="O432" i="5"/>
  <c r="N432" i="5"/>
  <c r="M432" i="5"/>
  <c r="L432" i="5"/>
  <c r="K432" i="5"/>
  <c r="S431" i="5"/>
  <c r="R431" i="5"/>
  <c r="Q431" i="5"/>
  <c r="P431" i="5"/>
  <c r="O431" i="5"/>
  <c r="N431" i="5"/>
  <c r="M431" i="5"/>
  <c r="L431" i="5"/>
  <c r="K431" i="5"/>
  <c r="S430" i="5"/>
  <c r="R430" i="5"/>
  <c r="Q430" i="5"/>
  <c r="P430" i="5"/>
  <c r="O430" i="5"/>
  <c r="N430" i="5"/>
  <c r="M430" i="5"/>
  <c r="L430" i="5"/>
  <c r="K430" i="5"/>
  <c r="S429" i="5"/>
  <c r="R429" i="5"/>
  <c r="Q429" i="5"/>
  <c r="P429" i="5"/>
  <c r="O429" i="5"/>
  <c r="N429" i="5"/>
  <c r="M429" i="5"/>
  <c r="L429" i="5"/>
  <c r="K429" i="5"/>
  <c r="S428" i="5"/>
  <c r="R428" i="5"/>
  <c r="Q428" i="5"/>
  <c r="P428" i="5"/>
  <c r="O428" i="5"/>
  <c r="N428" i="5"/>
  <c r="M428" i="5"/>
  <c r="L428" i="5"/>
  <c r="K428" i="5"/>
  <c r="S427" i="5"/>
  <c r="R427" i="5"/>
  <c r="Q427" i="5"/>
  <c r="P427" i="5"/>
  <c r="O427" i="5"/>
  <c r="N427" i="5"/>
  <c r="M427" i="5"/>
  <c r="L427" i="5"/>
  <c r="K427" i="5"/>
  <c r="S426" i="5"/>
  <c r="R426" i="5"/>
  <c r="Q426" i="5"/>
  <c r="P426" i="5"/>
  <c r="O426" i="5"/>
  <c r="N426" i="5"/>
  <c r="M426" i="5"/>
  <c r="L426" i="5"/>
  <c r="K426" i="5"/>
  <c r="S425" i="5"/>
  <c r="R425" i="5"/>
  <c r="Q425" i="5"/>
  <c r="P425" i="5"/>
  <c r="O425" i="5"/>
  <c r="N425" i="5"/>
  <c r="M425" i="5"/>
  <c r="L425" i="5"/>
  <c r="K425" i="5"/>
  <c r="S424" i="5"/>
  <c r="R424" i="5"/>
  <c r="Q424" i="5"/>
  <c r="P424" i="5"/>
  <c r="O424" i="5"/>
  <c r="N424" i="5"/>
  <c r="M424" i="5"/>
  <c r="L424" i="5"/>
  <c r="K424" i="5"/>
  <c r="S423" i="5"/>
  <c r="R423" i="5"/>
  <c r="Q423" i="5"/>
  <c r="P423" i="5"/>
  <c r="O423" i="5"/>
  <c r="N423" i="5"/>
  <c r="M423" i="5"/>
  <c r="L423" i="5"/>
  <c r="K423" i="5"/>
  <c r="S422" i="5"/>
  <c r="R422" i="5"/>
  <c r="Q422" i="5"/>
  <c r="P422" i="5"/>
  <c r="O422" i="5"/>
  <c r="N422" i="5"/>
  <c r="M422" i="5"/>
  <c r="L422" i="5"/>
  <c r="K422" i="5"/>
  <c r="S421" i="5"/>
  <c r="R421" i="5"/>
  <c r="Q421" i="5"/>
  <c r="P421" i="5"/>
  <c r="O421" i="5"/>
  <c r="N421" i="5"/>
  <c r="M421" i="5"/>
  <c r="L421" i="5"/>
  <c r="K421" i="5"/>
  <c r="S420" i="5"/>
  <c r="R420" i="5"/>
  <c r="Q420" i="5"/>
  <c r="P420" i="5"/>
  <c r="O420" i="5"/>
  <c r="N420" i="5"/>
  <c r="M420" i="5"/>
  <c r="L420" i="5"/>
  <c r="K420" i="5"/>
  <c r="S419" i="5"/>
  <c r="R419" i="5"/>
  <c r="Q419" i="5"/>
  <c r="P419" i="5"/>
  <c r="O419" i="5"/>
  <c r="N419" i="5"/>
  <c r="M419" i="5"/>
  <c r="L419" i="5"/>
  <c r="K419" i="5"/>
  <c r="S418" i="5"/>
  <c r="R418" i="5"/>
  <c r="Q418" i="5"/>
  <c r="P418" i="5"/>
  <c r="O418" i="5"/>
  <c r="N418" i="5"/>
  <c r="M418" i="5"/>
  <c r="L418" i="5"/>
  <c r="K418" i="5"/>
  <c r="S417" i="5"/>
  <c r="R417" i="5"/>
  <c r="Q417" i="5"/>
  <c r="P417" i="5"/>
  <c r="O417" i="5"/>
  <c r="N417" i="5"/>
  <c r="M417" i="5"/>
  <c r="L417" i="5"/>
  <c r="K417" i="5"/>
  <c r="S416" i="5"/>
  <c r="R416" i="5"/>
  <c r="Q416" i="5"/>
  <c r="P416" i="5"/>
  <c r="O416" i="5"/>
  <c r="N416" i="5"/>
  <c r="M416" i="5"/>
  <c r="L416" i="5"/>
  <c r="K416" i="5"/>
  <c r="S415" i="5"/>
  <c r="R415" i="5"/>
  <c r="Q415" i="5"/>
  <c r="P415" i="5"/>
  <c r="O415" i="5"/>
  <c r="N415" i="5"/>
  <c r="M415" i="5"/>
  <c r="L415" i="5"/>
  <c r="K415" i="5"/>
  <c r="S414" i="5"/>
  <c r="R414" i="5"/>
  <c r="Q414" i="5"/>
  <c r="P414" i="5"/>
  <c r="O414" i="5"/>
  <c r="N414" i="5"/>
  <c r="M414" i="5"/>
  <c r="L414" i="5"/>
  <c r="K414" i="5"/>
  <c r="S413" i="5"/>
  <c r="R413" i="5"/>
  <c r="Q413" i="5"/>
  <c r="P413" i="5"/>
  <c r="O413" i="5"/>
  <c r="N413" i="5"/>
  <c r="M413" i="5"/>
  <c r="L413" i="5"/>
  <c r="K413" i="5"/>
  <c r="S412" i="5"/>
  <c r="R412" i="5"/>
  <c r="Q412" i="5"/>
  <c r="P412" i="5"/>
  <c r="O412" i="5"/>
  <c r="N412" i="5"/>
  <c r="M412" i="5"/>
  <c r="L412" i="5"/>
  <c r="K412" i="5"/>
  <c r="S411" i="5"/>
  <c r="R411" i="5"/>
  <c r="Q411" i="5"/>
  <c r="P411" i="5"/>
  <c r="O411" i="5"/>
  <c r="N411" i="5"/>
  <c r="M411" i="5"/>
  <c r="L411" i="5"/>
  <c r="K411" i="5"/>
  <c r="S410" i="5"/>
  <c r="R410" i="5"/>
  <c r="Q410" i="5"/>
  <c r="P410" i="5"/>
  <c r="O410" i="5"/>
  <c r="N410" i="5"/>
  <c r="M410" i="5"/>
  <c r="L410" i="5"/>
  <c r="K410" i="5"/>
  <c r="S409" i="5"/>
  <c r="R409" i="5"/>
  <c r="Q409" i="5"/>
  <c r="P409" i="5"/>
  <c r="O409" i="5"/>
  <c r="N409" i="5"/>
  <c r="M409" i="5"/>
  <c r="L409" i="5"/>
  <c r="K409" i="5"/>
  <c r="S408" i="5"/>
  <c r="R408" i="5"/>
  <c r="Q408" i="5"/>
  <c r="P408" i="5"/>
  <c r="O408" i="5"/>
  <c r="N408" i="5"/>
  <c r="M408" i="5"/>
  <c r="L408" i="5"/>
  <c r="K408" i="5"/>
  <c r="S407" i="5"/>
  <c r="R407" i="5"/>
  <c r="Q407" i="5"/>
  <c r="P407" i="5"/>
  <c r="O407" i="5"/>
  <c r="N407" i="5"/>
  <c r="M407" i="5"/>
  <c r="L407" i="5"/>
  <c r="K407" i="5"/>
  <c r="S406" i="5"/>
  <c r="R406" i="5"/>
  <c r="Q406" i="5"/>
  <c r="P406" i="5"/>
  <c r="O406" i="5"/>
  <c r="N406" i="5"/>
  <c r="M406" i="5"/>
  <c r="L406" i="5"/>
  <c r="K406" i="5"/>
  <c r="S405" i="5"/>
  <c r="R405" i="5"/>
  <c r="Q405" i="5"/>
  <c r="P405" i="5"/>
  <c r="O405" i="5"/>
  <c r="N405" i="5"/>
  <c r="M405" i="5"/>
  <c r="L405" i="5"/>
  <c r="K405" i="5"/>
  <c r="S404" i="5"/>
  <c r="R404" i="5"/>
  <c r="Q404" i="5"/>
  <c r="P404" i="5"/>
  <c r="O404" i="5"/>
  <c r="N404" i="5"/>
  <c r="M404" i="5"/>
  <c r="L404" i="5"/>
  <c r="K404" i="5"/>
  <c r="S403" i="5"/>
  <c r="R403" i="5"/>
  <c r="Q403" i="5"/>
  <c r="P403" i="5"/>
  <c r="O403" i="5"/>
  <c r="N403" i="5"/>
  <c r="M403" i="5"/>
  <c r="L403" i="5"/>
  <c r="K403" i="5"/>
  <c r="S402" i="5"/>
  <c r="R402" i="5"/>
  <c r="Q402" i="5"/>
  <c r="P402" i="5"/>
  <c r="O402" i="5"/>
  <c r="N402" i="5"/>
  <c r="M402" i="5"/>
  <c r="L402" i="5"/>
  <c r="K402" i="5"/>
  <c r="S401" i="5"/>
  <c r="R401" i="5"/>
  <c r="Q401" i="5"/>
  <c r="P401" i="5"/>
  <c r="O401" i="5"/>
  <c r="N401" i="5"/>
  <c r="M401" i="5"/>
  <c r="L401" i="5"/>
  <c r="K401" i="5"/>
  <c r="S400" i="5"/>
  <c r="R400" i="5"/>
  <c r="Q400" i="5"/>
  <c r="P400" i="5"/>
  <c r="O400" i="5"/>
  <c r="N400" i="5"/>
  <c r="M400" i="5"/>
  <c r="L400" i="5"/>
  <c r="K400" i="5"/>
  <c r="S399" i="5"/>
  <c r="R399" i="5"/>
  <c r="Q399" i="5"/>
  <c r="P399" i="5"/>
  <c r="O399" i="5"/>
  <c r="N399" i="5"/>
  <c r="M399" i="5"/>
  <c r="L399" i="5"/>
  <c r="K399" i="5"/>
  <c r="S398" i="5"/>
  <c r="R398" i="5"/>
  <c r="Q398" i="5"/>
  <c r="P398" i="5"/>
  <c r="O398" i="5"/>
  <c r="N398" i="5"/>
  <c r="M398" i="5"/>
  <c r="L398" i="5"/>
  <c r="K398" i="5"/>
  <c r="S397" i="5"/>
  <c r="R397" i="5"/>
  <c r="Q397" i="5"/>
  <c r="P397" i="5"/>
  <c r="O397" i="5"/>
  <c r="N397" i="5"/>
  <c r="M397" i="5"/>
  <c r="L397" i="5"/>
  <c r="K397" i="5"/>
  <c r="S396" i="5"/>
  <c r="R396" i="5"/>
  <c r="Q396" i="5"/>
  <c r="P396" i="5"/>
  <c r="O396" i="5"/>
  <c r="N396" i="5"/>
  <c r="M396" i="5"/>
  <c r="L396" i="5"/>
  <c r="K396" i="5"/>
  <c r="S395" i="5"/>
  <c r="R395" i="5"/>
  <c r="Q395" i="5"/>
  <c r="P395" i="5"/>
  <c r="O395" i="5"/>
  <c r="N395" i="5"/>
  <c r="M395" i="5"/>
  <c r="L395" i="5"/>
  <c r="K395" i="5"/>
  <c r="S394" i="5"/>
  <c r="R394" i="5"/>
  <c r="Q394" i="5"/>
  <c r="P394" i="5"/>
  <c r="O394" i="5"/>
  <c r="N394" i="5"/>
  <c r="M394" i="5"/>
  <c r="L394" i="5"/>
  <c r="K394" i="5"/>
  <c r="S393" i="5"/>
  <c r="R393" i="5"/>
  <c r="Q393" i="5"/>
  <c r="P393" i="5"/>
  <c r="O393" i="5"/>
  <c r="N393" i="5"/>
  <c r="M393" i="5"/>
  <c r="L393" i="5"/>
  <c r="K393" i="5"/>
  <c r="S392" i="5"/>
  <c r="R392" i="5"/>
  <c r="Q392" i="5"/>
  <c r="P392" i="5"/>
  <c r="O392" i="5"/>
  <c r="N392" i="5"/>
  <c r="M392" i="5"/>
  <c r="L392" i="5"/>
  <c r="K392" i="5"/>
  <c r="S391" i="5"/>
  <c r="R391" i="5"/>
  <c r="Q391" i="5"/>
  <c r="P391" i="5"/>
  <c r="O391" i="5"/>
  <c r="N391" i="5"/>
  <c r="M391" i="5"/>
  <c r="L391" i="5"/>
  <c r="K391" i="5"/>
  <c r="S390" i="5"/>
  <c r="R390" i="5"/>
  <c r="Q390" i="5"/>
  <c r="P390" i="5"/>
  <c r="O390" i="5"/>
  <c r="N390" i="5"/>
  <c r="M390" i="5"/>
  <c r="L390" i="5"/>
  <c r="K390" i="5"/>
  <c r="S389" i="5"/>
  <c r="R389" i="5"/>
  <c r="Q389" i="5"/>
  <c r="P389" i="5"/>
  <c r="O389" i="5"/>
  <c r="N389" i="5"/>
  <c r="M389" i="5"/>
  <c r="L389" i="5"/>
  <c r="K389" i="5"/>
  <c r="S388" i="5"/>
  <c r="R388" i="5"/>
  <c r="Q388" i="5"/>
  <c r="P388" i="5"/>
  <c r="O388" i="5"/>
  <c r="N388" i="5"/>
  <c r="M388" i="5"/>
  <c r="L388" i="5"/>
  <c r="K388" i="5"/>
  <c r="S387" i="5"/>
  <c r="R387" i="5"/>
  <c r="Q387" i="5"/>
  <c r="P387" i="5"/>
  <c r="O387" i="5"/>
  <c r="N387" i="5"/>
  <c r="M387" i="5"/>
  <c r="L387" i="5"/>
  <c r="K387" i="5"/>
  <c r="S386" i="5"/>
  <c r="R386" i="5"/>
  <c r="Q386" i="5"/>
  <c r="P386" i="5"/>
  <c r="O386" i="5"/>
  <c r="N386" i="5"/>
  <c r="M386" i="5"/>
  <c r="L386" i="5"/>
  <c r="K386" i="5"/>
  <c r="S385" i="5"/>
  <c r="R385" i="5"/>
  <c r="Q385" i="5"/>
  <c r="P385" i="5"/>
  <c r="O385" i="5"/>
  <c r="N385" i="5"/>
  <c r="M385" i="5"/>
  <c r="L385" i="5"/>
  <c r="K385" i="5"/>
  <c r="S384" i="5"/>
  <c r="R384" i="5"/>
  <c r="Q384" i="5"/>
  <c r="P384" i="5"/>
  <c r="O384" i="5"/>
  <c r="N384" i="5"/>
  <c r="M384" i="5"/>
  <c r="L384" i="5"/>
  <c r="K384" i="5"/>
  <c r="S383" i="5"/>
  <c r="R383" i="5"/>
  <c r="Q383" i="5"/>
  <c r="P383" i="5"/>
  <c r="O383" i="5"/>
  <c r="N383" i="5"/>
  <c r="M383" i="5"/>
  <c r="L383" i="5"/>
  <c r="K383" i="5"/>
  <c r="S382" i="5"/>
  <c r="R382" i="5"/>
  <c r="Q382" i="5"/>
  <c r="P382" i="5"/>
  <c r="O382" i="5"/>
  <c r="N382" i="5"/>
  <c r="M382" i="5"/>
  <c r="L382" i="5"/>
  <c r="K382" i="5"/>
  <c r="S381" i="5"/>
  <c r="R381" i="5"/>
  <c r="Q381" i="5"/>
  <c r="P381" i="5"/>
  <c r="O381" i="5"/>
  <c r="N381" i="5"/>
  <c r="M381" i="5"/>
  <c r="L381" i="5"/>
  <c r="K381" i="5"/>
  <c r="S380" i="5"/>
  <c r="R380" i="5"/>
  <c r="Q380" i="5"/>
  <c r="P380" i="5"/>
  <c r="O380" i="5"/>
  <c r="N380" i="5"/>
  <c r="M380" i="5"/>
  <c r="L380" i="5"/>
  <c r="K380" i="5"/>
  <c r="S379" i="5"/>
  <c r="R379" i="5"/>
  <c r="Q379" i="5"/>
  <c r="P379" i="5"/>
  <c r="O379" i="5"/>
  <c r="N379" i="5"/>
  <c r="M379" i="5"/>
  <c r="L379" i="5"/>
  <c r="K379" i="5"/>
  <c r="S378" i="5"/>
  <c r="R378" i="5"/>
  <c r="Q378" i="5"/>
  <c r="P378" i="5"/>
  <c r="O378" i="5"/>
  <c r="N378" i="5"/>
  <c r="M378" i="5"/>
  <c r="L378" i="5"/>
  <c r="K378" i="5"/>
  <c r="S377" i="5"/>
  <c r="R377" i="5"/>
  <c r="Q377" i="5"/>
  <c r="P377" i="5"/>
  <c r="O377" i="5"/>
  <c r="N377" i="5"/>
  <c r="M377" i="5"/>
  <c r="L377" i="5"/>
  <c r="K377" i="5"/>
  <c r="S376" i="5"/>
  <c r="R376" i="5"/>
  <c r="Q376" i="5"/>
  <c r="P376" i="5"/>
  <c r="O376" i="5"/>
  <c r="N376" i="5"/>
  <c r="M376" i="5"/>
  <c r="L376" i="5"/>
  <c r="K376" i="5"/>
  <c r="S375" i="5"/>
  <c r="R375" i="5"/>
  <c r="Q375" i="5"/>
  <c r="P375" i="5"/>
  <c r="O375" i="5"/>
  <c r="N375" i="5"/>
  <c r="M375" i="5"/>
  <c r="L375" i="5"/>
  <c r="K375" i="5"/>
  <c r="S374" i="5"/>
  <c r="R374" i="5"/>
  <c r="Q374" i="5"/>
  <c r="P374" i="5"/>
  <c r="O374" i="5"/>
  <c r="N374" i="5"/>
  <c r="M374" i="5"/>
  <c r="L374" i="5"/>
  <c r="K374" i="5"/>
  <c r="S373" i="5"/>
  <c r="R373" i="5"/>
  <c r="Q373" i="5"/>
  <c r="P373" i="5"/>
  <c r="O373" i="5"/>
  <c r="N373" i="5"/>
  <c r="M373" i="5"/>
  <c r="L373" i="5"/>
  <c r="K373" i="5"/>
  <c r="S372" i="5"/>
  <c r="R372" i="5"/>
  <c r="Q372" i="5"/>
  <c r="P372" i="5"/>
  <c r="O372" i="5"/>
  <c r="N372" i="5"/>
  <c r="M372" i="5"/>
  <c r="L372" i="5"/>
  <c r="K372" i="5"/>
  <c r="S371" i="5"/>
  <c r="R371" i="5"/>
  <c r="Q371" i="5"/>
  <c r="P371" i="5"/>
  <c r="O371" i="5"/>
  <c r="N371" i="5"/>
  <c r="M371" i="5"/>
  <c r="L371" i="5"/>
  <c r="K371" i="5"/>
  <c r="S370" i="5"/>
  <c r="R370" i="5"/>
  <c r="Q370" i="5"/>
  <c r="P370" i="5"/>
  <c r="O370" i="5"/>
  <c r="N370" i="5"/>
  <c r="M370" i="5"/>
  <c r="L370" i="5"/>
  <c r="K370" i="5"/>
  <c r="S369" i="5"/>
  <c r="R369" i="5"/>
  <c r="Q369" i="5"/>
  <c r="P369" i="5"/>
  <c r="O369" i="5"/>
  <c r="N369" i="5"/>
  <c r="M369" i="5"/>
  <c r="L369" i="5"/>
  <c r="K369" i="5"/>
  <c r="S368" i="5"/>
  <c r="R368" i="5"/>
  <c r="Q368" i="5"/>
  <c r="P368" i="5"/>
  <c r="O368" i="5"/>
  <c r="N368" i="5"/>
  <c r="M368" i="5"/>
  <c r="L368" i="5"/>
  <c r="K368" i="5"/>
  <c r="S367" i="5"/>
  <c r="R367" i="5"/>
  <c r="Q367" i="5"/>
  <c r="P367" i="5"/>
  <c r="O367" i="5"/>
  <c r="N367" i="5"/>
  <c r="M367" i="5"/>
  <c r="L367" i="5"/>
  <c r="K367" i="5"/>
  <c r="S366" i="5"/>
  <c r="R366" i="5"/>
  <c r="Q366" i="5"/>
  <c r="P366" i="5"/>
  <c r="O366" i="5"/>
  <c r="N366" i="5"/>
  <c r="M366" i="5"/>
  <c r="L366" i="5"/>
  <c r="K366" i="5"/>
  <c r="S365" i="5"/>
  <c r="R365" i="5"/>
  <c r="Q365" i="5"/>
  <c r="P365" i="5"/>
  <c r="O365" i="5"/>
  <c r="N365" i="5"/>
  <c r="M365" i="5"/>
  <c r="L365" i="5"/>
  <c r="K365" i="5"/>
  <c r="S364" i="5"/>
  <c r="R364" i="5"/>
  <c r="Q364" i="5"/>
  <c r="P364" i="5"/>
  <c r="O364" i="5"/>
  <c r="N364" i="5"/>
  <c r="M364" i="5"/>
  <c r="L364" i="5"/>
  <c r="K364" i="5"/>
  <c r="S363" i="5"/>
  <c r="R363" i="5"/>
  <c r="Q363" i="5"/>
  <c r="P363" i="5"/>
  <c r="O363" i="5"/>
  <c r="N363" i="5"/>
  <c r="M363" i="5"/>
  <c r="L363" i="5"/>
  <c r="K363" i="5"/>
  <c r="S362" i="5"/>
  <c r="R362" i="5"/>
  <c r="Q362" i="5"/>
  <c r="P362" i="5"/>
  <c r="O362" i="5"/>
  <c r="N362" i="5"/>
  <c r="M362" i="5"/>
  <c r="L362" i="5"/>
  <c r="K362" i="5"/>
  <c r="S361" i="5"/>
  <c r="R361" i="5"/>
  <c r="Q361" i="5"/>
  <c r="P361" i="5"/>
  <c r="O361" i="5"/>
  <c r="N361" i="5"/>
  <c r="M361" i="5"/>
  <c r="L361" i="5"/>
  <c r="K361" i="5"/>
  <c r="S360" i="5"/>
  <c r="R360" i="5"/>
  <c r="Q360" i="5"/>
  <c r="P360" i="5"/>
  <c r="O360" i="5"/>
  <c r="N360" i="5"/>
  <c r="M360" i="5"/>
  <c r="L360" i="5"/>
  <c r="K360" i="5"/>
  <c r="S359" i="5"/>
  <c r="R359" i="5"/>
  <c r="Q359" i="5"/>
  <c r="P359" i="5"/>
  <c r="O359" i="5"/>
  <c r="N359" i="5"/>
  <c r="M359" i="5"/>
  <c r="L359" i="5"/>
  <c r="K359" i="5"/>
  <c r="S358" i="5"/>
  <c r="R358" i="5"/>
  <c r="Q358" i="5"/>
  <c r="P358" i="5"/>
  <c r="O358" i="5"/>
  <c r="N358" i="5"/>
  <c r="M358" i="5"/>
  <c r="L358" i="5"/>
  <c r="K358" i="5"/>
  <c r="S357" i="5"/>
  <c r="R357" i="5"/>
  <c r="Q357" i="5"/>
  <c r="P357" i="5"/>
  <c r="O357" i="5"/>
  <c r="N357" i="5"/>
  <c r="M357" i="5"/>
  <c r="L357" i="5"/>
  <c r="K357" i="5"/>
  <c r="S356" i="5"/>
  <c r="R356" i="5"/>
  <c r="Q356" i="5"/>
  <c r="P356" i="5"/>
  <c r="O356" i="5"/>
  <c r="N356" i="5"/>
  <c r="M356" i="5"/>
  <c r="L356" i="5"/>
  <c r="K356" i="5"/>
  <c r="S355" i="5"/>
  <c r="R355" i="5"/>
  <c r="Q355" i="5"/>
  <c r="P355" i="5"/>
  <c r="O355" i="5"/>
  <c r="N355" i="5"/>
  <c r="M355" i="5"/>
  <c r="L355" i="5"/>
  <c r="K355" i="5"/>
  <c r="S354" i="5"/>
  <c r="R354" i="5"/>
  <c r="Q354" i="5"/>
  <c r="P354" i="5"/>
  <c r="O354" i="5"/>
  <c r="N354" i="5"/>
  <c r="M354" i="5"/>
  <c r="L354" i="5"/>
  <c r="K354" i="5"/>
  <c r="S353" i="5"/>
  <c r="R353" i="5"/>
  <c r="Q353" i="5"/>
  <c r="P353" i="5"/>
  <c r="O353" i="5"/>
  <c r="N353" i="5"/>
  <c r="M353" i="5"/>
  <c r="L353" i="5"/>
  <c r="K353" i="5"/>
  <c r="S352" i="5"/>
  <c r="R352" i="5"/>
  <c r="Q352" i="5"/>
  <c r="P352" i="5"/>
  <c r="O352" i="5"/>
  <c r="N352" i="5"/>
  <c r="M352" i="5"/>
  <c r="L352" i="5"/>
  <c r="K352" i="5"/>
  <c r="S351" i="5"/>
  <c r="R351" i="5"/>
  <c r="Q351" i="5"/>
  <c r="P351" i="5"/>
  <c r="O351" i="5"/>
  <c r="N351" i="5"/>
  <c r="M351" i="5"/>
  <c r="L351" i="5"/>
  <c r="K351" i="5"/>
  <c r="S350" i="5"/>
  <c r="R350" i="5"/>
  <c r="Q350" i="5"/>
  <c r="P350" i="5"/>
  <c r="O350" i="5"/>
  <c r="N350" i="5"/>
  <c r="M350" i="5"/>
  <c r="L350" i="5"/>
  <c r="K350" i="5"/>
  <c r="S349" i="5"/>
  <c r="R349" i="5"/>
  <c r="Q349" i="5"/>
  <c r="P349" i="5"/>
  <c r="O349" i="5"/>
  <c r="N349" i="5"/>
  <c r="M349" i="5"/>
  <c r="L349" i="5"/>
  <c r="K349" i="5"/>
  <c r="S348" i="5"/>
  <c r="R348" i="5"/>
  <c r="Q348" i="5"/>
  <c r="P348" i="5"/>
  <c r="O348" i="5"/>
  <c r="N348" i="5"/>
  <c r="M348" i="5"/>
  <c r="L348" i="5"/>
  <c r="K348" i="5"/>
  <c r="S347" i="5"/>
  <c r="R347" i="5"/>
  <c r="Q347" i="5"/>
  <c r="P347" i="5"/>
  <c r="O347" i="5"/>
  <c r="N347" i="5"/>
  <c r="M347" i="5"/>
  <c r="L347" i="5"/>
  <c r="K347" i="5"/>
  <c r="S346" i="5"/>
  <c r="R346" i="5"/>
  <c r="Q346" i="5"/>
  <c r="P346" i="5"/>
  <c r="O346" i="5"/>
  <c r="N346" i="5"/>
  <c r="M346" i="5"/>
  <c r="L346" i="5"/>
  <c r="K346" i="5"/>
  <c r="S345" i="5"/>
  <c r="R345" i="5"/>
  <c r="Q345" i="5"/>
  <c r="P345" i="5"/>
  <c r="O345" i="5"/>
  <c r="N345" i="5"/>
  <c r="M345" i="5"/>
  <c r="L345" i="5"/>
  <c r="K345" i="5"/>
  <c r="S344" i="5"/>
  <c r="R344" i="5"/>
  <c r="Q344" i="5"/>
  <c r="P344" i="5"/>
  <c r="O344" i="5"/>
  <c r="N344" i="5"/>
  <c r="M344" i="5"/>
  <c r="L344" i="5"/>
  <c r="K344" i="5"/>
  <c r="S343" i="5"/>
  <c r="R343" i="5"/>
  <c r="Q343" i="5"/>
  <c r="P343" i="5"/>
  <c r="O343" i="5"/>
  <c r="N343" i="5"/>
  <c r="M343" i="5"/>
  <c r="L343" i="5"/>
  <c r="K343" i="5"/>
  <c r="S342" i="5"/>
  <c r="R342" i="5"/>
  <c r="Q342" i="5"/>
  <c r="P342" i="5"/>
  <c r="O342" i="5"/>
  <c r="N342" i="5"/>
  <c r="M342" i="5"/>
  <c r="L342" i="5"/>
  <c r="K342" i="5"/>
  <c r="S341" i="5"/>
  <c r="R341" i="5"/>
  <c r="Q341" i="5"/>
  <c r="P341" i="5"/>
  <c r="O341" i="5"/>
  <c r="N341" i="5"/>
  <c r="M341" i="5"/>
  <c r="L341" i="5"/>
  <c r="K341" i="5"/>
  <c r="S340" i="5"/>
  <c r="R340" i="5"/>
  <c r="Q340" i="5"/>
  <c r="P340" i="5"/>
  <c r="O340" i="5"/>
  <c r="N340" i="5"/>
  <c r="M340" i="5"/>
  <c r="L340" i="5"/>
  <c r="K340" i="5"/>
  <c r="S339" i="5"/>
  <c r="R339" i="5"/>
  <c r="Q339" i="5"/>
  <c r="P339" i="5"/>
  <c r="O339" i="5"/>
  <c r="N339" i="5"/>
  <c r="M339" i="5"/>
  <c r="L339" i="5"/>
  <c r="K339" i="5"/>
  <c r="S338" i="5"/>
  <c r="R338" i="5"/>
  <c r="Q338" i="5"/>
  <c r="P338" i="5"/>
  <c r="O338" i="5"/>
  <c r="N338" i="5"/>
  <c r="M338" i="5"/>
  <c r="L338" i="5"/>
  <c r="K338" i="5"/>
  <c r="S337" i="5"/>
  <c r="R337" i="5"/>
  <c r="Q337" i="5"/>
  <c r="P337" i="5"/>
  <c r="O337" i="5"/>
  <c r="N337" i="5"/>
  <c r="M337" i="5"/>
  <c r="L337" i="5"/>
  <c r="K337" i="5"/>
  <c r="S336" i="5"/>
  <c r="R336" i="5"/>
  <c r="Q336" i="5"/>
  <c r="P336" i="5"/>
  <c r="O336" i="5"/>
  <c r="N336" i="5"/>
  <c r="M336" i="5"/>
  <c r="L336" i="5"/>
  <c r="K336" i="5"/>
  <c r="S335" i="5"/>
  <c r="R335" i="5"/>
  <c r="Q335" i="5"/>
  <c r="P335" i="5"/>
  <c r="O335" i="5"/>
  <c r="N335" i="5"/>
  <c r="M335" i="5"/>
  <c r="L335" i="5"/>
  <c r="K335" i="5"/>
  <c r="S334" i="5"/>
  <c r="R334" i="5"/>
  <c r="Q334" i="5"/>
  <c r="P334" i="5"/>
  <c r="O334" i="5"/>
  <c r="N334" i="5"/>
  <c r="M334" i="5"/>
  <c r="L334" i="5"/>
  <c r="K334" i="5"/>
  <c r="S333" i="5"/>
  <c r="R333" i="5"/>
  <c r="Q333" i="5"/>
  <c r="P333" i="5"/>
  <c r="O333" i="5"/>
  <c r="N333" i="5"/>
  <c r="M333" i="5"/>
  <c r="L333" i="5"/>
  <c r="K333" i="5"/>
  <c r="S332" i="5"/>
  <c r="R332" i="5"/>
  <c r="Q332" i="5"/>
  <c r="P332" i="5"/>
  <c r="O332" i="5"/>
  <c r="N332" i="5"/>
  <c r="M332" i="5"/>
  <c r="L332" i="5"/>
  <c r="K332" i="5"/>
  <c r="S331" i="5"/>
  <c r="R331" i="5"/>
  <c r="Q331" i="5"/>
  <c r="P331" i="5"/>
  <c r="O331" i="5"/>
  <c r="N331" i="5"/>
  <c r="M331" i="5"/>
  <c r="L331" i="5"/>
  <c r="K331" i="5"/>
  <c r="S330" i="5"/>
  <c r="R330" i="5"/>
  <c r="Q330" i="5"/>
  <c r="P330" i="5"/>
  <c r="O330" i="5"/>
  <c r="N330" i="5"/>
  <c r="M330" i="5"/>
  <c r="L330" i="5"/>
  <c r="K330" i="5"/>
  <c r="S329" i="5"/>
  <c r="R329" i="5"/>
  <c r="Q329" i="5"/>
  <c r="P329" i="5"/>
  <c r="O329" i="5"/>
  <c r="N329" i="5"/>
  <c r="M329" i="5"/>
  <c r="L329" i="5"/>
  <c r="K329" i="5"/>
  <c r="S328" i="5"/>
  <c r="R328" i="5"/>
  <c r="Q328" i="5"/>
  <c r="P328" i="5"/>
  <c r="O328" i="5"/>
  <c r="N328" i="5"/>
  <c r="M328" i="5"/>
  <c r="L328" i="5"/>
  <c r="K328" i="5"/>
  <c r="S327" i="5"/>
  <c r="R327" i="5"/>
  <c r="Q327" i="5"/>
  <c r="P327" i="5"/>
  <c r="O327" i="5"/>
  <c r="N327" i="5"/>
  <c r="M327" i="5"/>
  <c r="L327" i="5"/>
  <c r="K327" i="5"/>
  <c r="S326" i="5"/>
  <c r="R326" i="5"/>
  <c r="Q326" i="5"/>
  <c r="P326" i="5"/>
  <c r="O326" i="5"/>
  <c r="N326" i="5"/>
  <c r="M326" i="5"/>
  <c r="L326" i="5"/>
  <c r="K326" i="5"/>
  <c r="S325" i="5"/>
  <c r="R325" i="5"/>
  <c r="Q325" i="5"/>
  <c r="P325" i="5"/>
  <c r="O325" i="5"/>
  <c r="N325" i="5"/>
  <c r="M325" i="5"/>
  <c r="L325" i="5"/>
  <c r="K325" i="5"/>
  <c r="S324" i="5"/>
  <c r="R324" i="5"/>
  <c r="Q324" i="5"/>
  <c r="P324" i="5"/>
  <c r="O324" i="5"/>
  <c r="N324" i="5"/>
  <c r="M324" i="5"/>
  <c r="L324" i="5"/>
  <c r="K324" i="5"/>
  <c r="S323" i="5"/>
  <c r="R323" i="5"/>
  <c r="Q323" i="5"/>
  <c r="P323" i="5"/>
  <c r="O323" i="5"/>
  <c r="N323" i="5"/>
  <c r="M323" i="5"/>
  <c r="L323" i="5"/>
  <c r="K323" i="5"/>
  <c r="S322" i="5"/>
  <c r="R322" i="5"/>
  <c r="Q322" i="5"/>
  <c r="P322" i="5"/>
  <c r="O322" i="5"/>
  <c r="N322" i="5"/>
  <c r="M322" i="5"/>
  <c r="L322" i="5"/>
  <c r="K322" i="5"/>
  <c r="S321" i="5"/>
  <c r="R321" i="5"/>
  <c r="Q321" i="5"/>
  <c r="P321" i="5"/>
  <c r="O321" i="5"/>
  <c r="N321" i="5"/>
  <c r="M321" i="5"/>
  <c r="L321" i="5"/>
  <c r="K321" i="5"/>
  <c r="S320" i="5"/>
  <c r="R320" i="5"/>
  <c r="Q320" i="5"/>
  <c r="P320" i="5"/>
  <c r="O320" i="5"/>
  <c r="N320" i="5"/>
  <c r="M320" i="5"/>
  <c r="L320" i="5"/>
  <c r="K320" i="5"/>
  <c r="S319" i="5"/>
  <c r="R319" i="5"/>
  <c r="Q319" i="5"/>
  <c r="P319" i="5"/>
  <c r="O319" i="5"/>
  <c r="N319" i="5"/>
  <c r="M319" i="5"/>
  <c r="L319" i="5"/>
  <c r="K319" i="5"/>
  <c r="S318" i="5"/>
  <c r="R318" i="5"/>
  <c r="Q318" i="5"/>
  <c r="P318" i="5"/>
  <c r="O318" i="5"/>
  <c r="N318" i="5"/>
  <c r="M318" i="5"/>
  <c r="L318" i="5"/>
  <c r="K318" i="5"/>
  <c r="S317" i="5"/>
  <c r="R317" i="5"/>
  <c r="Q317" i="5"/>
  <c r="P317" i="5"/>
  <c r="O317" i="5"/>
  <c r="N317" i="5"/>
  <c r="M317" i="5"/>
  <c r="L317" i="5"/>
  <c r="K317" i="5"/>
  <c r="S316" i="5"/>
  <c r="R316" i="5"/>
  <c r="Q316" i="5"/>
  <c r="P316" i="5"/>
  <c r="O316" i="5"/>
  <c r="N316" i="5"/>
  <c r="M316" i="5"/>
  <c r="L316" i="5"/>
  <c r="K316" i="5"/>
  <c r="S315" i="5"/>
  <c r="R315" i="5"/>
  <c r="Q315" i="5"/>
  <c r="P315" i="5"/>
  <c r="O315" i="5"/>
  <c r="N315" i="5"/>
  <c r="M315" i="5"/>
  <c r="L315" i="5"/>
  <c r="K315" i="5"/>
  <c r="S314" i="5"/>
  <c r="R314" i="5"/>
  <c r="Q314" i="5"/>
  <c r="P314" i="5"/>
  <c r="O314" i="5"/>
  <c r="N314" i="5"/>
  <c r="M314" i="5"/>
  <c r="L314" i="5"/>
  <c r="K314" i="5"/>
  <c r="S313" i="5"/>
  <c r="R313" i="5"/>
  <c r="Q313" i="5"/>
  <c r="P313" i="5"/>
  <c r="O313" i="5"/>
  <c r="N313" i="5"/>
  <c r="M313" i="5"/>
  <c r="L313" i="5"/>
  <c r="K313" i="5"/>
  <c r="S312" i="5"/>
  <c r="R312" i="5"/>
  <c r="Q312" i="5"/>
  <c r="P312" i="5"/>
  <c r="O312" i="5"/>
  <c r="N312" i="5"/>
  <c r="M312" i="5"/>
  <c r="L312" i="5"/>
  <c r="K312" i="5"/>
  <c r="S311" i="5"/>
  <c r="R311" i="5"/>
  <c r="Q311" i="5"/>
  <c r="P311" i="5"/>
  <c r="O311" i="5"/>
  <c r="N311" i="5"/>
  <c r="M311" i="5"/>
  <c r="L311" i="5"/>
  <c r="K311" i="5"/>
  <c r="S310" i="5"/>
  <c r="R310" i="5"/>
  <c r="Q310" i="5"/>
  <c r="P310" i="5"/>
  <c r="O310" i="5"/>
  <c r="N310" i="5"/>
  <c r="M310" i="5"/>
  <c r="L310" i="5"/>
  <c r="K310" i="5"/>
  <c r="S309" i="5"/>
  <c r="R309" i="5"/>
  <c r="Q309" i="5"/>
  <c r="P309" i="5"/>
  <c r="O309" i="5"/>
  <c r="N309" i="5"/>
  <c r="M309" i="5"/>
  <c r="L309" i="5"/>
  <c r="K309" i="5"/>
  <c r="S308" i="5"/>
  <c r="R308" i="5"/>
  <c r="Q308" i="5"/>
  <c r="P308" i="5"/>
  <c r="O308" i="5"/>
  <c r="N308" i="5"/>
  <c r="M308" i="5"/>
  <c r="L308" i="5"/>
  <c r="K308" i="5"/>
  <c r="S307" i="5"/>
  <c r="R307" i="5"/>
  <c r="Q307" i="5"/>
  <c r="P307" i="5"/>
  <c r="O307" i="5"/>
  <c r="N307" i="5"/>
  <c r="M307" i="5"/>
  <c r="L307" i="5"/>
  <c r="K307" i="5"/>
  <c r="S306" i="5"/>
  <c r="R306" i="5"/>
  <c r="Q306" i="5"/>
  <c r="P306" i="5"/>
  <c r="O306" i="5"/>
  <c r="N306" i="5"/>
  <c r="M306" i="5"/>
  <c r="L306" i="5"/>
  <c r="K306" i="5"/>
  <c r="S305" i="5"/>
  <c r="R305" i="5"/>
  <c r="Q305" i="5"/>
  <c r="P305" i="5"/>
  <c r="O305" i="5"/>
  <c r="N305" i="5"/>
  <c r="M305" i="5"/>
  <c r="L305" i="5"/>
  <c r="K305" i="5"/>
  <c r="S304" i="5"/>
  <c r="R304" i="5"/>
  <c r="Q304" i="5"/>
  <c r="P304" i="5"/>
  <c r="O304" i="5"/>
  <c r="N304" i="5"/>
  <c r="M304" i="5"/>
  <c r="L304" i="5"/>
  <c r="K304" i="5"/>
  <c r="S303" i="5"/>
  <c r="R303" i="5"/>
  <c r="Q303" i="5"/>
  <c r="P303" i="5"/>
  <c r="O303" i="5"/>
  <c r="N303" i="5"/>
  <c r="M303" i="5"/>
  <c r="L303" i="5"/>
  <c r="K303" i="5"/>
  <c r="S302" i="5"/>
  <c r="R302" i="5"/>
  <c r="Q302" i="5"/>
  <c r="P302" i="5"/>
  <c r="O302" i="5"/>
  <c r="N302" i="5"/>
  <c r="M302" i="5"/>
  <c r="L302" i="5"/>
  <c r="K302" i="5"/>
  <c r="S301" i="5"/>
  <c r="R301" i="5"/>
  <c r="Q301" i="5"/>
  <c r="P301" i="5"/>
  <c r="O301" i="5"/>
  <c r="N301" i="5"/>
  <c r="M301" i="5"/>
  <c r="L301" i="5"/>
  <c r="K301" i="5"/>
  <c r="S300" i="5"/>
  <c r="R300" i="5"/>
  <c r="Q300" i="5"/>
  <c r="P300" i="5"/>
  <c r="O300" i="5"/>
  <c r="N300" i="5"/>
  <c r="M300" i="5"/>
  <c r="L300" i="5"/>
  <c r="K300" i="5"/>
  <c r="S299" i="5"/>
  <c r="R299" i="5"/>
  <c r="Q299" i="5"/>
  <c r="P299" i="5"/>
  <c r="O299" i="5"/>
  <c r="N299" i="5"/>
  <c r="M299" i="5"/>
  <c r="L299" i="5"/>
  <c r="K299" i="5"/>
  <c r="S298" i="5"/>
  <c r="R298" i="5"/>
  <c r="Q298" i="5"/>
  <c r="P298" i="5"/>
  <c r="O298" i="5"/>
  <c r="N298" i="5"/>
  <c r="M298" i="5"/>
  <c r="L298" i="5"/>
  <c r="K298" i="5"/>
  <c r="S297" i="5"/>
  <c r="R297" i="5"/>
  <c r="Q297" i="5"/>
  <c r="P297" i="5"/>
  <c r="O297" i="5"/>
  <c r="N297" i="5"/>
  <c r="M297" i="5"/>
  <c r="L297" i="5"/>
  <c r="K297" i="5"/>
  <c r="S296" i="5"/>
  <c r="R296" i="5"/>
  <c r="Q296" i="5"/>
  <c r="P296" i="5"/>
  <c r="O296" i="5"/>
  <c r="N296" i="5"/>
  <c r="M296" i="5"/>
  <c r="L296" i="5"/>
  <c r="K296" i="5"/>
  <c r="S295" i="5"/>
  <c r="R295" i="5"/>
  <c r="Q295" i="5"/>
  <c r="P295" i="5"/>
  <c r="O295" i="5"/>
  <c r="N295" i="5"/>
  <c r="M295" i="5"/>
  <c r="L295" i="5"/>
  <c r="K295" i="5"/>
  <c r="S294" i="5"/>
  <c r="R294" i="5"/>
  <c r="Q294" i="5"/>
  <c r="P294" i="5"/>
  <c r="O294" i="5"/>
  <c r="N294" i="5"/>
  <c r="M294" i="5"/>
  <c r="L294" i="5"/>
  <c r="K294" i="5"/>
  <c r="S293" i="5"/>
  <c r="R293" i="5"/>
  <c r="Q293" i="5"/>
  <c r="P293" i="5"/>
  <c r="O293" i="5"/>
  <c r="N293" i="5"/>
  <c r="M293" i="5"/>
  <c r="L293" i="5"/>
  <c r="K293" i="5"/>
  <c r="S292" i="5"/>
  <c r="R292" i="5"/>
  <c r="Q292" i="5"/>
  <c r="P292" i="5"/>
  <c r="O292" i="5"/>
  <c r="N292" i="5"/>
  <c r="M292" i="5"/>
  <c r="L292" i="5"/>
  <c r="K292" i="5"/>
  <c r="S291" i="5"/>
  <c r="R291" i="5"/>
  <c r="Q291" i="5"/>
  <c r="P291" i="5"/>
  <c r="O291" i="5"/>
  <c r="N291" i="5"/>
  <c r="M291" i="5"/>
  <c r="L291" i="5"/>
  <c r="K291" i="5"/>
  <c r="S290" i="5"/>
  <c r="R290" i="5"/>
  <c r="Q290" i="5"/>
  <c r="P290" i="5"/>
  <c r="O290" i="5"/>
  <c r="N290" i="5"/>
  <c r="M290" i="5"/>
  <c r="L290" i="5"/>
  <c r="K290" i="5"/>
  <c r="S289" i="5"/>
  <c r="R289" i="5"/>
  <c r="Q289" i="5"/>
  <c r="P289" i="5"/>
  <c r="O289" i="5"/>
  <c r="N289" i="5"/>
  <c r="M289" i="5"/>
  <c r="L289" i="5"/>
  <c r="K289" i="5"/>
  <c r="S288" i="5"/>
  <c r="R288" i="5"/>
  <c r="Q288" i="5"/>
  <c r="P288" i="5"/>
  <c r="O288" i="5"/>
  <c r="N288" i="5"/>
  <c r="M288" i="5"/>
  <c r="L288" i="5"/>
  <c r="K288" i="5"/>
  <c r="S287" i="5"/>
  <c r="R287" i="5"/>
  <c r="Q287" i="5"/>
  <c r="P287" i="5"/>
  <c r="O287" i="5"/>
  <c r="N287" i="5"/>
  <c r="M287" i="5"/>
  <c r="L287" i="5"/>
  <c r="K287" i="5"/>
  <c r="S286" i="5"/>
  <c r="R286" i="5"/>
  <c r="Q286" i="5"/>
  <c r="P286" i="5"/>
  <c r="O286" i="5"/>
  <c r="N286" i="5"/>
  <c r="M286" i="5"/>
  <c r="L286" i="5"/>
  <c r="K286" i="5"/>
  <c r="S285" i="5"/>
  <c r="R285" i="5"/>
  <c r="Q285" i="5"/>
  <c r="P285" i="5"/>
  <c r="O285" i="5"/>
  <c r="N285" i="5"/>
  <c r="M285" i="5"/>
  <c r="L285" i="5"/>
  <c r="K285" i="5"/>
  <c r="S284" i="5"/>
  <c r="R284" i="5"/>
  <c r="Q284" i="5"/>
  <c r="P284" i="5"/>
  <c r="O284" i="5"/>
  <c r="N284" i="5"/>
  <c r="M284" i="5"/>
  <c r="L284" i="5"/>
  <c r="K284" i="5"/>
  <c r="S283" i="5"/>
  <c r="R283" i="5"/>
  <c r="Q283" i="5"/>
  <c r="P283" i="5"/>
  <c r="O283" i="5"/>
  <c r="N283" i="5"/>
  <c r="M283" i="5"/>
  <c r="L283" i="5"/>
  <c r="K283" i="5"/>
  <c r="S282" i="5"/>
  <c r="R282" i="5"/>
  <c r="Q282" i="5"/>
  <c r="P282" i="5"/>
  <c r="O282" i="5"/>
  <c r="N282" i="5"/>
  <c r="M282" i="5"/>
  <c r="L282" i="5"/>
  <c r="K282" i="5"/>
  <c r="S281" i="5"/>
  <c r="R281" i="5"/>
  <c r="Q281" i="5"/>
  <c r="P281" i="5"/>
  <c r="O281" i="5"/>
  <c r="N281" i="5"/>
  <c r="M281" i="5"/>
  <c r="L281" i="5"/>
  <c r="K281" i="5"/>
  <c r="S280" i="5"/>
  <c r="R280" i="5"/>
  <c r="Q280" i="5"/>
  <c r="P280" i="5"/>
  <c r="O280" i="5"/>
  <c r="N280" i="5"/>
  <c r="M280" i="5"/>
  <c r="L280" i="5"/>
  <c r="K280" i="5"/>
  <c r="S279" i="5"/>
  <c r="R279" i="5"/>
  <c r="Q279" i="5"/>
  <c r="P279" i="5"/>
  <c r="O279" i="5"/>
  <c r="N279" i="5"/>
  <c r="M279" i="5"/>
  <c r="L279" i="5"/>
  <c r="K279" i="5"/>
  <c r="S278" i="5"/>
  <c r="R278" i="5"/>
  <c r="Q278" i="5"/>
  <c r="P278" i="5"/>
  <c r="O278" i="5"/>
  <c r="N278" i="5"/>
  <c r="M278" i="5"/>
  <c r="L278" i="5"/>
  <c r="K278" i="5"/>
  <c r="S277" i="5"/>
  <c r="R277" i="5"/>
  <c r="Q277" i="5"/>
  <c r="P277" i="5"/>
  <c r="O277" i="5"/>
  <c r="N277" i="5"/>
  <c r="M277" i="5"/>
  <c r="L277" i="5"/>
  <c r="K277" i="5"/>
  <c r="S276" i="5"/>
  <c r="R276" i="5"/>
  <c r="Q276" i="5"/>
  <c r="P276" i="5"/>
  <c r="O276" i="5"/>
  <c r="N276" i="5"/>
  <c r="M276" i="5"/>
  <c r="L276" i="5"/>
  <c r="K276" i="5"/>
  <c r="S275" i="5"/>
  <c r="R275" i="5"/>
  <c r="Q275" i="5"/>
  <c r="P275" i="5"/>
  <c r="O275" i="5"/>
  <c r="N275" i="5"/>
  <c r="M275" i="5"/>
  <c r="L275" i="5"/>
  <c r="K275" i="5"/>
  <c r="S274" i="5"/>
  <c r="R274" i="5"/>
  <c r="Q274" i="5"/>
  <c r="P274" i="5"/>
  <c r="O274" i="5"/>
  <c r="N274" i="5"/>
  <c r="M274" i="5"/>
  <c r="L274" i="5"/>
  <c r="K274" i="5"/>
  <c r="S273" i="5"/>
  <c r="R273" i="5"/>
  <c r="Q273" i="5"/>
  <c r="P273" i="5"/>
  <c r="O273" i="5"/>
  <c r="N273" i="5"/>
  <c r="M273" i="5"/>
  <c r="L273" i="5"/>
  <c r="K273" i="5"/>
  <c r="S272" i="5"/>
  <c r="R272" i="5"/>
  <c r="Q272" i="5"/>
  <c r="P272" i="5"/>
  <c r="O272" i="5"/>
  <c r="N272" i="5"/>
  <c r="M272" i="5"/>
  <c r="L272" i="5"/>
  <c r="K272" i="5"/>
  <c r="S271" i="5"/>
  <c r="R271" i="5"/>
  <c r="Q271" i="5"/>
  <c r="P271" i="5"/>
  <c r="O271" i="5"/>
  <c r="N271" i="5"/>
  <c r="M271" i="5"/>
  <c r="L271" i="5"/>
  <c r="K271" i="5"/>
  <c r="S270" i="5"/>
  <c r="R270" i="5"/>
  <c r="Q270" i="5"/>
  <c r="P270" i="5"/>
  <c r="O270" i="5"/>
  <c r="N270" i="5"/>
  <c r="M270" i="5"/>
  <c r="L270" i="5"/>
  <c r="K270" i="5"/>
  <c r="S269" i="5"/>
  <c r="R269" i="5"/>
  <c r="Q269" i="5"/>
  <c r="P269" i="5"/>
  <c r="O269" i="5"/>
  <c r="N269" i="5"/>
  <c r="M269" i="5"/>
  <c r="L269" i="5"/>
  <c r="K269" i="5"/>
  <c r="S268" i="5"/>
  <c r="R268" i="5"/>
  <c r="Q268" i="5"/>
  <c r="P268" i="5"/>
  <c r="O268" i="5"/>
  <c r="N268" i="5"/>
  <c r="M268" i="5"/>
  <c r="L268" i="5"/>
  <c r="K268" i="5"/>
  <c r="S267" i="5"/>
  <c r="R267" i="5"/>
  <c r="Q267" i="5"/>
  <c r="P267" i="5"/>
  <c r="O267" i="5"/>
  <c r="N267" i="5"/>
  <c r="M267" i="5"/>
  <c r="L267" i="5"/>
  <c r="K267" i="5"/>
  <c r="S266" i="5"/>
  <c r="R266" i="5"/>
  <c r="Q266" i="5"/>
  <c r="P266" i="5"/>
  <c r="O266" i="5"/>
  <c r="N266" i="5"/>
  <c r="M266" i="5"/>
  <c r="L266" i="5"/>
  <c r="K266" i="5"/>
  <c r="S265" i="5"/>
  <c r="R265" i="5"/>
  <c r="Q265" i="5"/>
  <c r="P265" i="5"/>
  <c r="O265" i="5"/>
  <c r="N265" i="5"/>
  <c r="M265" i="5"/>
  <c r="L265" i="5"/>
  <c r="K265" i="5"/>
  <c r="S264" i="5"/>
  <c r="R264" i="5"/>
  <c r="Q264" i="5"/>
  <c r="P264" i="5"/>
  <c r="O264" i="5"/>
  <c r="N264" i="5"/>
  <c r="M264" i="5"/>
  <c r="L264" i="5"/>
  <c r="K264" i="5"/>
  <c r="S263" i="5"/>
  <c r="R263" i="5"/>
  <c r="Q263" i="5"/>
  <c r="P263" i="5"/>
  <c r="O263" i="5"/>
  <c r="N263" i="5"/>
  <c r="M263" i="5"/>
  <c r="L263" i="5"/>
  <c r="K263" i="5"/>
  <c r="S262" i="5"/>
  <c r="R262" i="5"/>
  <c r="Q262" i="5"/>
  <c r="P262" i="5"/>
  <c r="O262" i="5"/>
  <c r="N262" i="5"/>
  <c r="M262" i="5"/>
  <c r="L262" i="5"/>
  <c r="K262" i="5"/>
  <c r="S261" i="5"/>
  <c r="R261" i="5"/>
  <c r="Q261" i="5"/>
  <c r="P261" i="5"/>
  <c r="O261" i="5"/>
  <c r="N261" i="5"/>
  <c r="M261" i="5"/>
  <c r="L261" i="5"/>
  <c r="K261" i="5"/>
  <c r="S260" i="5"/>
  <c r="R260" i="5"/>
  <c r="Q260" i="5"/>
  <c r="P260" i="5"/>
  <c r="O260" i="5"/>
  <c r="N260" i="5"/>
  <c r="M260" i="5"/>
  <c r="L260" i="5"/>
  <c r="K260" i="5"/>
  <c r="S259" i="5"/>
  <c r="R259" i="5"/>
  <c r="Q259" i="5"/>
  <c r="P259" i="5"/>
  <c r="O259" i="5"/>
  <c r="N259" i="5"/>
  <c r="M259" i="5"/>
  <c r="L259" i="5"/>
  <c r="K259" i="5"/>
  <c r="S258" i="5"/>
  <c r="R258" i="5"/>
  <c r="Q258" i="5"/>
  <c r="P258" i="5"/>
  <c r="O258" i="5"/>
  <c r="N258" i="5"/>
  <c r="M258" i="5"/>
  <c r="L258" i="5"/>
  <c r="K258" i="5"/>
  <c r="S257" i="5"/>
  <c r="R257" i="5"/>
  <c r="Q257" i="5"/>
  <c r="P257" i="5"/>
  <c r="O257" i="5"/>
  <c r="N257" i="5"/>
  <c r="M257" i="5"/>
  <c r="L257" i="5"/>
  <c r="K257" i="5"/>
  <c r="S256" i="5"/>
  <c r="R256" i="5"/>
  <c r="Q256" i="5"/>
  <c r="P256" i="5"/>
  <c r="O256" i="5"/>
  <c r="N256" i="5"/>
  <c r="M256" i="5"/>
  <c r="L256" i="5"/>
  <c r="K256" i="5"/>
  <c r="S255" i="5"/>
  <c r="R255" i="5"/>
  <c r="Q255" i="5"/>
  <c r="P255" i="5"/>
  <c r="O255" i="5"/>
  <c r="N255" i="5"/>
  <c r="M255" i="5"/>
  <c r="L255" i="5"/>
  <c r="K255" i="5"/>
  <c r="S254" i="5"/>
  <c r="R254" i="5"/>
  <c r="Q254" i="5"/>
  <c r="P254" i="5"/>
  <c r="O254" i="5"/>
  <c r="N254" i="5"/>
  <c r="M254" i="5"/>
  <c r="L254" i="5"/>
  <c r="K254" i="5"/>
  <c r="S253" i="5"/>
  <c r="R253" i="5"/>
  <c r="Q253" i="5"/>
  <c r="P253" i="5"/>
  <c r="O253" i="5"/>
  <c r="N253" i="5"/>
  <c r="M253" i="5"/>
  <c r="L253" i="5"/>
  <c r="K253" i="5"/>
  <c r="S252" i="5"/>
  <c r="R252" i="5"/>
  <c r="Q252" i="5"/>
  <c r="P252" i="5"/>
  <c r="O252" i="5"/>
  <c r="N252" i="5"/>
  <c r="M252" i="5"/>
  <c r="L252" i="5"/>
  <c r="K252" i="5"/>
  <c r="S251" i="5"/>
  <c r="R251" i="5"/>
  <c r="Q251" i="5"/>
  <c r="P251" i="5"/>
  <c r="O251" i="5"/>
  <c r="N251" i="5"/>
  <c r="M251" i="5"/>
  <c r="L251" i="5"/>
  <c r="K251" i="5"/>
  <c r="S250" i="5"/>
  <c r="R250" i="5"/>
  <c r="Q250" i="5"/>
  <c r="P250" i="5"/>
  <c r="O250" i="5"/>
  <c r="N250" i="5"/>
  <c r="M250" i="5"/>
  <c r="L250" i="5"/>
  <c r="K250" i="5"/>
  <c r="S249" i="5"/>
  <c r="R249" i="5"/>
  <c r="Q249" i="5"/>
  <c r="P249" i="5"/>
  <c r="O249" i="5"/>
  <c r="N249" i="5"/>
  <c r="M249" i="5"/>
  <c r="L249" i="5"/>
  <c r="K249" i="5"/>
  <c r="S248" i="5"/>
  <c r="R248" i="5"/>
  <c r="Q248" i="5"/>
  <c r="P248" i="5"/>
  <c r="O248" i="5"/>
  <c r="N248" i="5"/>
  <c r="M248" i="5"/>
  <c r="L248" i="5"/>
  <c r="K248" i="5"/>
  <c r="S247" i="5"/>
  <c r="R247" i="5"/>
  <c r="Q247" i="5"/>
  <c r="P247" i="5"/>
  <c r="O247" i="5"/>
  <c r="N247" i="5"/>
  <c r="M247" i="5"/>
  <c r="L247" i="5"/>
  <c r="K247" i="5"/>
  <c r="S246" i="5"/>
  <c r="R246" i="5"/>
  <c r="Q246" i="5"/>
  <c r="P246" i="5"/>
  <c r="O246" i="5"/>
  <c r="N246" i="5"/>
  <c r="M246" i="5"/>
  <c r="L246" i="5"/>
  <c r="K246" i="5"/>
  <c r="S245" i="5"/>
  <c r="R245" i="5"/>
  <c r="Q245" i="5"/>
  <c r="P245" i="5"/>
  <c r="O245" i="5"/>
  <c r="N245" i="5"/>
  <c r="M245" i="5"/>
  <c r="L245" i="5"/>
  <c r="K245" i="5"/>
  <c r="S244" i="5"/>
  <c r="R244" i="5"/>
  <c r="Q244" i="5"/>
  <c r="P244" i="5"/>
  <c r="O244" i="5"/>
  <c r="N244" i="5"/>
  <c r="M244" i="5"/>
  <c r="L244" i="5"/>
  <c r="K244" i="5"/>
  <c r="S243" i="5"/>
  <c r="R243" i="5"/>
  <c r="Q243" i="5"/>
  <c r="P243" i="5"/>
  <c r="O243" i="5"/>
  <c r="N243" i="5"/>
  <c r="M243" i="5"/>
  <c r="L243" i="5"/>
  <c r="K243" i="5"/>
  <c r="S242" i="5"/>
  <c r="R242" i="5"/>
  <c r="Q242" i="5"/>
  <c r="P242" i="5"/>
  <c r="O242" i="5"/>
  <c r="N242" i="5"/>
  <c r="M242" i="5"/>
  <c r="L242" i="5"/>
  <c r="K242" i="5"/>
  <c r="S241" i="5"/>
  <c r="R241" i="5"/>
  <c r="Q241" i="5"/>
  <c r="P241" i="5"/>
  <c r="O241" i="5"/>
  <c r="N241" i="5"/>
  <c r="M241" i="5"/>
  <c r="L241" i="5"/>
  <c r="K241" i="5"/>
  <c r="S240" i="5"/>
  <c r="R240" i="5"/>
  <c r="Q240" i="5"/>
  <c r="P240" i="5"/>
  <c r="O240" i="5"/>
  <c r="N240" i="5"/>
  <c r="M240" i="5"/>
  <c r="L240" i="5"/>
  <c r="K240" i="5"/>
  <c r="S239" i="5"/>
  <c r="R239" i="5"/>
  <c r="Q239" i="5"/>
  <c r="P239" i="5"/>
  <c r="O239" i="5"/>
  <c r="N239" i="5"/>
  <c r="M239" i="5"/>
  <c r="L239" i="5"/>
  <c r="K239" i="5"/>
  <c r="S238" i="5"/>
  <c r="R238" i="5"/>
  <c r="Q238" i="5"/>
  <c r="P238" i="5"/>
  <c r="O238" i="5"/>
  <c r="N238" i="5"/>
  <c r="M238" i="5"/>
  <c r="L238" i="5"/>
  <c r="K238" i="5"/>
  <c r="S237" i="5"/>
  <c r="R237" i="5"/>
  <c r="Q237" i="5"/>
  <c r="P237" i="5"/>
  <c r="O237" i="5"/>
  <c r="N237" i="5"/>
  <c r="M237" i="5"/>
  <c r="L237" i="5"/>
  <c r="K237" i="5"/>
  <c r="S236" i="5"/>
  <c r="R236" i="5"/>
  <c r="Q236" i="5"/>
  <c r="P236" i="5"/>
  <c r="O236" i="5"/>
  <c r="N236" i="5"/>
  <c r="M236" i="5"/>
  <c r="L236" i="5"/>
  <c r="K236" i="5"/>
  <c r="S235" i="5"/>
  <c r="R235" i="5"/>
  <c r="Q235" i="5"/>
  <c r="P235" i="5"/>
  <c r="O235" i="5"/>
  <c r="N235" i="5"/>
  <c r="M235" i="5"/>
  <c r="L235" i="5"/>
  <c r="K235" i="5"/>
  <c r="S234" i="5"/>
  <c r="R234" i="5"/>
  <c r="Q234" i="5"/>
  <c r="P234" i="5"/>
  <c r="O234" i="5"/>
  <c r="N234" i="5"/>
  <c r="M234" i="5"/>
  <c r="L234" i="5"/>
  <c r="K234" i="5"/>
  <c r="S233" i="5"/>
  <c r="R233" i="5"/>
  <c r="Q233" i="5"/>
  <c r="P233" i="5"/>
  <c r="O233" i="5"/>
  <c r="N233" i="5"/>
  <c r="M233" i="5"/>
  <c r="L233" i="5"/>
  <c r="K233" i="5"/>
  <c r="S232" i="5"/>
  <c r="R232" i="5"/>
  <c r="Q232" i="5"/>
  <c r="P232" i="5"/>
  <c r="O232" i="5"/>
  <c r="N232" i="5"/>
  <c r="M232" i="5"/>
  <c r="L232" i="5"/>
  <c r="K232" i="5"/>
  <c r="S231" i="5"/>
  <c r="R231" i="5"/>
  <c r="Q231" i="5"/>
  <c r="P231" i="5"/>
  <c r="O231" i="5"/>
  <c r="N231" i="5"/>
  <c r="M231" i="5"/>
  <c r="L231" i="5"/>
  <c r="K231" i="5"/>
  <c r="S230" i="5"/>
  <c r="R230" i="5"/>
  <c r="Q230" i="5"/>
  <c r="P230" i="5"/>
  <c r="O230" i="5"/>
  <c r="N230" i="5"/>
  <c r="M230" i="5"/>
  <c r="L230" i="5"/>
  <c r="K230" i="5"/>
  <c r="S229" i="5"/>
  <c r="R229" i="5"/>
  <c r="Q229" i="5"/>
  <c r="P229" i="5"/>
  <c r="O229" i="5"/>
  <c r="N229" i="5"/>
  <c r="M229" i="5"/>
  <c r="L229" i="5"/>
  <c r="K229" i="5"/>
  <c r="S228" i="5"/>
  <c r="R228" i="5"/>
  <c r="Q228" i="5"/>
  <c r="P228" i="5"/>
  <c r="O228" i="5"/>
  <c r="N228" i="5"/>
  <c r="M228" i="5"/>
  <c r="L228" i="5"/>
  <c r="K228" i="5"/>
  <c r="S227" i="5"/>
  <c r="R227" i="5"/>
  <c r="Q227" i="5"/>
  <c r="P227" i="5"/>
  <c r="O227" i="5"/>
  <c r="N227" i="5"/>
  <c r="M227" i="5"/>
  <c r="L227" i="5"/>
  <c r="K227" i="5"/>
  <c r="S226" i="5"/>
  <c r="R226" i="5"/>
  <c r="Q226" i="5"/>
  <c r="P226" i="5"/>
  <c r="O226" i="5"/>
  <c r="N226" i="5"/>
  <c r="M226" i="5"/>
  <c r="L226" i="5"/>
  <c r="K226" i="5"/>
  <c r="S225" i="5"/>
  <c r="R225" i="5"/>
  <c r="Q225" i="5"/>
  <c r="P225" i="5"/>
  <c r="O225" i="5"/>
  <c r="N225" i="5"/>
  <c r="M225" i="5"/>
  <c r="L225" i="5"/>
  <c r="K225" i="5"/>
  <c r="S224" i="5"/>
  <c r="R224" i="5"/>
  <c r="Q224" i="5"/>
  <c r="P224" i="5"/>
  <c r="O224" i="5"/>
  <c r="N224" i="5"/>
  <c r="M224" i="5"/>
  <c r="L224" i="5"/>
  <c r="K224" i="5"/>
  <c r="S223" i="5"/>
  <c r="R223" i="5"/>
  <c r="Q223" i="5"/>
  <c r="P223" i="5"/>
  <c r="O223" i="5"/>
  <c r="N223" i="5"/>
  <c r="M223" i="5"/>
  <c r="L223" i="5"/>
  <c r="K223" i="5"/>
  <c r="S222" i="5"/>
  <c r="R222" i="5"/>
  <c r="Q222" i="5"/>
  <c r="P222" i="5"/>
  <c r="O222" i="5"/>
  <c r="N222" i="5"/>
  <c r="M222" i="5"/>
  <c r="L222" i="5"/>
  <c r="K222" i="5"/>
  <c r="S221" i="5"/>
  <c r="R221" i="5"/>
  <c r="Q221" i="5"/>
  <c r="P221" i="5"/>
  <c r="O221" i="5"/>
  <c r="N221" i="5"/>
  <c r="M221" i="5"/>
  <c r="L221" i="5"/>
  <c r="K221" i="5"/>
  <c r="S220" i="5"/>
  <c r="R220" i="5"/>
  <c r="Q220" i="5"/>
  <c r="P220" i="5"/>
  <c r="O220" i="5"/>
  <c r="N220" i="5"/>
  <c r="M220" i="5"/>
  <c r="L220" i="5"/>
  <c r="K220" i="5"/>
  <c r="S219" i="5"/>
  <c r="R219" i="5"/>
  <c r="Q219" i="5"/>
  <c r="P219" i="5"/>
  <c r="O219" i="5"/>
  <c r="N219" i="5"/>
  <c r="M219" i="5"/>
  <c r="L219" i="5"/>
  <c r="K219" i="5"/>
  <c r="S218" i="5"/>
  <c r="R218" i="5"/>
  <c r="Q218" i="5"/>
  <c r="P218" i="5"/>
  <c r="O218" i="5"/>
  <c r="N218" i="5"/>
  <c r="M218" i="5"/>
  <c r="L218" i="5"/>
  <c r="K218" i="5"/>
  <c r="S217" i="5"/>
  <c r="R217" i="5"/>
  <c r="Q217" i="5"/>
  <c r="P217" i="5"/>
  <c r="O217" i="5"/>
  <c r="N217" i="5"/>
  <c r="M217" i="5"/>
  <c r="L217" i="5"/>
  <c r="K217" i="5"/>
  <c r="S216" i="5"/>
  <c r="R216" i="5"/>
  <c r="Q216" i="5"/>
  <c r="P216" i="5"/>
  <c r="O216" i="5"/>
  <c r="N216" i="5"/>
  <c r="M216" i="5"/>
  <c r="L216" i="5"/>
  <c r="K216" i="5"/>
  <c r="S215" i="5"/>
  <c r="R215" i="5"/>
  <c r="Q215" i="5"/>
  <c r="P215" i="5"/>
  <c r="O215" i="5"/>
  <c r="N215" i="5"/>
  <c r="M215" i="5"/>
  <c r="L215" i="5"/>
  <c r="K215" i="5"/>
  <c r="S214" i="5"/>
  <c r="R214" i="5"/>
  <c r="Q214" i="5"/>
  <c r="P214" i="5"/>
  <c r="O214" i="5"/>
  <c r="N214" i="5"/>
  <c r="M214" i="5"/>
  <c r="L214" i="5"/>
  <c r="K214" i="5"/>
  <c r="S213" i="5"/>
  <c r="R213" i="5"/>
  <c r="Q213" i="5"/>
  <c r="P213" i="5"/>
  <c r="O213" i="5"/>
  <c r="N213" i="5"/>
  <c r="M213" i="5"/>
  <c r="L213" i="5"/>
  <c r="K213" i="5"/>
  <c r="S212" i="5"/>
  <c r="R212" i="5"/>
  <c r="Q212" i="5"/>
  <c r="P212" i="5"/>
  <c r="O212" i="5"/>
  <c r="N212" i="5"/>
  <c r="M212" i="5"/>
  <c r="L212" i="5"/>
  <c r="K212" i="5"/>
  <c r="S211" i="5"/>
  <c r="R211" i="5"/>
  <c r="Q211" i="5"/>
  <c r="P211" i="5"/>
  <c r="O211" i="5"/>
  <c r="N211" i="5"/>
  <c r="M211" i="5"/>
  <c r="L211" i="5"/>
  <c r="K211" i="5"/>
  <c r="S210" i="5"/>
  <c r="R210" i="5"/>
  <c r="Q210" i="5"/>
  <c r="P210" i="5"/>
  <c r="O210" i="5"/>
  <c r="N210" i="5"/>
  <c r="M210" i="5"/>
  <c r="L210" i="5"/>
  <c r="K210" i="5"/>
  <c r="S209" i="5"/>
  <c r="R209" i="5"/>
  <c r="Q209" i="5"/>
  <c r="P209" i="5"/>
  <c r="O209" i="5"/>
  <c r="N209" i="5"/>
  <c r="M209" i="5"/>
  <c r="L209" i="5"/>
  <c r="K209" i="5"/>
  <c r="S208" i="5"/>
  <c r="R208" i="5"/>
  <c r="Q208" i="5"/>
  <c r="P208" i="5"/>
  <c r="O208" i="5"/>
  <c r="N208" i="5"/>
  <c r="M208" i="5"/>
  <c r="L208" i="5"/>
  <c r="K208" i="5"/>
  <c r="S207" i="5"/>
  <c r="R207" i="5"/>
  <c r="Q207" i="5"/>
  <c r="P207" i="5"/>
  <c r="O207" i="5"/>
  <c r="N207" i="5"/>
  <c r="M207" i="5"/>
  <c r="L207" i="5"/>
  <c r="K207" i="5"/>
  <c r="S206" i="5"/>
  <c r="R206" i="5"/>
  <c r="Q206" i="5"/>
  <c r="P206" i="5"/>
  <c r="O206" i="5"/>
  <c r="N206" i="5"/>
  <c r="M206" i="5"/>
  <c r="L206" i="5"/>
  <c r="K206" i="5"/>
  <c r="S205" i="5"/>
  <c r="R205" i="5"/>
  <c r="Q205" i="5"/>
  <c r="P205" i="5"/>
  <c r="O205" i="5"/>
  <c r="N205" i="5"/>
  <c r="M205" i="5"/>
  <c r="L205" i="5"/>
  <c r="K205" i="5"/>
  <c r="S204" i="5"/>
  <c r="R204" i="5"/>
  <c r="Q204" i="5"/>
  <c r="P204" i="5"/>
  <c r="O204" i="5"/>
  <c r="N204" i="5"/>
  <c r="M204" i="5"/>
  <c r="L204" i="5"/>
  <c r="K204" i="5"/>
  <c r="S203" i="5"/>
  <c r="R203" i="5"/>
  <c r="Q203" i="5"/>
  <c r="P203" i="5"/>
  <c r="O203" i="5"/>
  <c r="N203" i="5"/>
  <c r="M203" i="5"/>
  <c r="L203" i="5"/>
  <c r="K203" i="5"/>
  <c r="S202" i="5"/>
  <c r="R202" i="5"/>
  <c r="Q202" i="5"/>
  <c r="P202" i="5"/>
  <c r="O202" i="5"/>
  <c r="N202" i="5"/>
  <c r="M202" i="5"/>
  <c r="L202" i="5"/>
  <c r="K202" i="5"/>
  <c r="S201" i="5"/>
  <c r="R201" i="5"/>
  <c r="Q201" i="5"/>
  <c r="P201" i="5"/>
  <c r="O201" i="5"/>
  <c r="N201" i="5"/>
  <c r="M201" i="5"/>
  <c r="L201" i="5"/>
  <c r="K201" i="5"/>
  <c r="S200" i="5"/>
  <c r="R200" i="5"/>
  <c r="Q200" i="5"/>
  <c r="P200" i="5"/>
  <c r="O200" i="5"/>
  <c r="N200" i="5"/>
  <c r="M200" i="5"/>
  <c r="L200" i="5"/>
  <c r="K200" i="5"/>
  <c r="S199" i="5"/>
  <c r="R199" i="5"/>
  <c r="Q199" i="5"/>
  <c r="P199" i="5"/>
  <c r="O199" i="5"/>
  <c r="N199" i="5"/>
  <c r="M199" i="5"/>
  <c r="L199" i="5"/>
  <c r="K199" i="5"/>
  <c r="S198" i="5"/>
  <c r="R198" i="5"/>
  <c r="Q198" i="5"/>
  <c r="P198" i="5"/>
  <c r="O198" i="5"/>
  <c r="N198" i="5"/>
  <c r="M198" i="5"/>
  <c r="L198" i="5"/>
  <c r="K198" i="5"/>
  <c r="S197" i="5"/>
  <c r="R197" i="5"/>
  <c r="Q197" i="5"/>
  <c r="P197" i="5"/>
  <c r="O197" i="5"/>
  <c r="N197" i="5"/>
  <c r="M197" i="5"/>
  <c r="L197" i="5"/>
  <c r="K197" i="5"/>
  <c r="S196" i="5"/>
  <c r="R196" i="5"/>
  <c r="Q196" i="5"/>
  <c r="P196" i="5"/>
  <c r="O196" i="5"/>
  <c r="N196" i="5"/>
  <c r="M196" i="5"/>
  <c r="L196" i="5"/>
  <c r="K196" i="5"/>
  <c r="S195" i="5"/>
  <c r="R195" i="5"/>
  <c r="Q195" i="5"/>
  <c r="P195" i="5"/>
  <c r="O195" i="5"/>
  <c r="N195" i="5"/>
  <c r="M195" i="5"/>
  <c r="L195" i="5"/>
  <c r="K195" i="5"/>
  <c r="S194" i="5"/>
  <c r="R194" i="5"/>
  <c r="Q194" i="5"/>
  <c r="P194" i="5"/>
  <c r="O194" i="5"/>
  <c r="N194" i="5"/>
  <c r="M194" i="5"/>
  <c r="L194" i="5"/>
  <c r="K194" i="5"/>
  <c r="S193" i="5"/>
  <c r="R193" i="5"/>
  <c r="Q193" i="5"/>
  <c r="P193" i="5"/>
  <c r="O193" i="5"/>
  <c r="N193" i="5"/>
  <c r="M193" i="5"/>
  <c r="L193" i="5"/>
  <c r="K193" i="5"/>
  <c r="S192" i="5"/>
  <c r="R192" i="5"/>
  <c r="Q192" i="5"/>
  <c r="P192" i="5"/>
  <c r="O192" i="5"/>
  <c r="N192" i="5"/>
  <c r="M192" i="5"/>
  <c r="L192" i="5"/>
  <c r="K192" i="5"/>
  <c r="S191" i="5"/>
  <c r="R191" i="5"/>
  <c r="Q191" i="5"/>
  <c r="P191" i="5"/>
  <c r="O191" i="5"/>
  <c r="N191" i="5"/>
  <c r="M191" i="5"/>
  <c r="L191" i="5"/>
  <c r="K191" i="5"/>
  <c r="S190" i="5"/>
  <c r="R190" i="5"/>
  <c r="Q190" i="5"/>
  <c r="P190" i="5"/>
  <c r="O190" i="5"/>
  <c r="N190" i="5"/>
  <c r="M190" i="5"/>
  <c r="L190" i="5"/>
  <c r="K190" i="5"/>
  <c r="S189" i="5"/>
  <c r="R189" i="5"/>
  <c r="Q189" i="5"/>
  <c r="P189" i="5"/>
  <c r="O189" i="5"/>
  <c r="N189" i="5"/>
  <c r="M189" i="5"/>
  <c r="L189" i="5"/>
  <c r="K189" i="5"/>
  <c r="S188" i="5"/>
  <c r="R188" i="5"/>
  <c r="Q188" i="5"/>
  <c r="P188" i="5"/>
  <c r="O188" i="5"/>
  <c r="N188" i="5"/>
  <c r="M188" i="5"/>
  <c r="L188" i="5"/>
  <c r="K188" i="5"/>
  <c r="S187" i="5"/>
  <c r="R187" i="5"/>
  <c r="Q187" i="5"/>
  <c r="P187" i="5"/>
  <c r="O187" i="5"/>
  <c r="N187" i="5"/>
  <c r="M187" i="5"/>
  <c r="L187" i="5"/>
  <c r="K187" i="5"/>
  <c r="S186" i="5"/>
  <c r="R186" i="5"/>
  <c r="Q186" i="5"/>
  <c r="P186" i="5"/>
  <c r="O186" i="5"/>
  <c r="N186" i="5"/>
  <c r="M186" i="5"/>
  <c r="L186" i="5"/>
  <c r="K186" i="5"/>
  <c r="S185" i="5"/>
  <c r="R185" i="5"/>
  <c r="Q185" i="5"/>
  <c r="P185" i="5"/>
  <c r="O185" i="5"/>
  <c r="N185" i="5"/>
  <c r="M185" i="5"/>
  <c r="L185" i="5"/>
  <c r="K185" i="5"/>
  <c r="S184" i="5"/>
  <c r="R184" i="5"/>
  <c r="Q184" i="5"/>
  <c r="P184" i="5"/>
  <c r="O184" i="5"/>
  <c r="N184" i="5"/>
  <c r="M184" i="5"/>
  <c r="L184" i="5"/>
  <c r="K184" i="5"/>
  <c r="S183" i="5"/>
  <c r="R183" i="5"/>
  <c r="Q183" i="5"/>
  <c r="P183" i="5"/>
  <c r="O183" i="5"/>
  <c r="N183" i="5"/>
  <c r="M183" i="5"/>
  <c r="L183" i="5"/>
  <c r="K183" i="5"/>
  <c r="S182" i="5"/>
  <c r="R182" i="5"/>
  <c r="Q182" i="5"/>
  <c r="P182" i="5"/>
  <c r="O182" i="5"/>
  <c r="N182" i="5"/>
  <c r="M182" i="5"/>
  <c r="L182" i="5"/>
  <c r="K182" i="5"/>
  <c r="S181" i="5"/>
  <c r="R181" i="5"/>
  <c r="Q181" i="5"/>
  <c r="P181" i="5"/>
  <c r="O181" i="5"/>
  <c r="N181" i="5"/>
  <c r="M181" i="5"/>
  <c r="L181" i="5"/>
  <c r="K181" i="5"/>
  <c r="S180" i="5"/>
  <c r="R180" i="5"/>
  <c r="Q180" i="5"/>
  <c r="P180" i="5"/>
  <c r="O180" i="5"/>
  <c r="N180" i="5"/>
  <c r="M180" i="5"/>
  <c r="L180" i="5"/>
  <c r="K180" i="5"/>
  <c r="S179" i="5"/>
  <c r="R179" i="5"/>
  <c r="Q179" i="5"/>
  <c r="P179" i="5"/>
  <c r="O179" i="5"/>
  <c r="N179" i="5"/>
  <c r="M179" i="5"/>
  <c r="L179" i="5"/>
  <c r="K179" i="5"/>
  <c r="S178" i="5"/>
  <c r="R178" i="5"/>
  <c r="Q178" i="5"/>
  <c r="P178" i="5"/>
  <c r="O178" i="5"/>
  <c r="N178" i="5"/>
  <c r="M178" i="5"/>
  <c r="L178" i="5"/>
  <c r="K178" i="5"/>
  <c r="S177" i="5"/>
  <c r="R177" i="5"/>
  <c r="Q177" i="5"/>
  <c r="P177" i="5"/>
  <c r="O177" i="5"/>
  <c r="N177" i="5"/>
  <c r="M177" i="5"/>
  <c r="L177" i="5"/>
  <c r="K177" i="5"/>
  <c r="S176" i="5"/>
  <c r="R176" i="5"/>
  <c r="Q176" i="5"/>
  <c r="P176" i="5"/>
  <c r="O176" i="5"/>
  <c r="N176" i="5"/>
  <c r="M176" i="5"/>
  <c r="L176" i="5"/>
  <c r="K176" i="5"/>
  <c r="S175" i="5"/>
  <c r="R175" i="5"/>
  <c r="Q175" i="5"/>
  <c r="P175" i="5"/>
  <c r="O175" i="5"/>
  <c r="N175" i="5"/>
  <c r="M175" i="5"/>
  <c r="L175" i="5"/>
  <c r="K175" i="5"/>
  <c r="S174" i="5"/>
  <c r="R174" i="5"/>
  <c r="Q174" i="5"/>
  <c r="P174" i="5"/>
  <c r="O174" i="5"/>
  <c r="N174" i="5"/>
  <c r="M174" i="5"/>
  <c r="L174" i="5"/>
  <c r="K174" i="5"/>
  <c r="S173" i="5"/>
  <c r="R173" i="5"/>
  <c r="Q173" i="5"/>
  <c r="P173" i="5"/>
  <c r="O173" i="5"/>
  <c r="N173" i="5"/>
  <c r="M173" i="5"/>
  <c r="L173" i="5"/>
  <c r="K173" i="5"/>
  <c r="S172" i="5"/>
  <c r="R172" i="5"/>
  <c r="Q172" i="5"/>
  <c r="P172" i="5"/>
  <c r="O172" i="5"/>
  <c r="N172" i="5"/>
  <c r="M172" i="5"/>
  <c r="L172" i="5"/>
  <c r="K172" i="5"/>
  <c r="S171" i="5"/>
  <c r="R171" i="5"/>
  <c r="Q171" i="5"/>
  <c r="P171" i="5"/>
  <c r="O171" i="5"/>
  <c r="N171" i="5"/>
  <c r="M171" i="5"/>
  <c r="L171" i="5"/>
  <c r="K171" i="5"/>
  <c r="S170" i="5"/>
  <c r="R170" i="5"/>
  <c r="Q170" i="5"/>
  <c r="P170" i="5"/>
  <c r="O170" i="5"/>
  <c r="N170" i="5"/>
  <c r="M170" i="5"/>
  <c r="L170" i="5"/>
  <c r="K170" i="5"/>
  <c r="S169" i="5"/>
  <c r="R169" i="5"/>
  <c r="Q169" i="5"/>
  <c r="P169" i="5"/>
  <c r="O169" i="5"/>
  <c r="N169" i="5"/>
  <c r="M169" i="5"/>
  <c r="L169" i="5"/>
  <c r="K169" i="5"/>
  <c r="S168" i="5"/>
  <c r="R168" i="5"/>
  <c r="Q168" i="5"/>
  <c r="P168" i="5"/>
  <c r="O168" i="5"/>
  <c r="N168" i="5"/>
  <c r="M168" i="5"/>
  <c r="L168" i="5"/>
  <c r="K168" i="5"/>
  <c r="S167" i="5"/>
  <c r="R167" i="5"/>
  <c r="Q167" i="5"/>
  <c r="P167" i="5"/>
  <c r="O167" i="5"/>
  <c r="N167" i="5"/>
  <c r="M167" i="5"/>
  <c r="L167" i="5"/>
  <c r="K167" i="5"/>
  <c r="S166" i="5"/>
  <c r="R166" i="5"/>
  <c r="Q166" i="5"/>
  <c r="P166" i="5"/>
  <c r="O166" i="5"/>
  <c r="N166" i="5"/>
  <c r="M166" i="5"/>
  <c r="L166" i="5"/>
  <c r="K166" i="5"/>
  <c r="S165" i="5"/>
  <c r="R165" i="5"/>
  <c r="Q165" i="5"/>
  <c r="P165" i="5"/>
  <c r="O165" i="5"/>
  <c r="N165" i="5"/>
  <c r="M165" i="5"/>
  <c r="L165" i="5"/>
  <c r="K165" i="5"/>
  <c r="S164" i="5"/>
  <c r="R164" i="5"/>
  <c r="Q164" i="5"/>
  <c r="P164" i="5"/>
  <c r="O164" i="5"/>
  <c r="N164" i="5"/>
  <c r="M164" i="5"/>
  <c r="L164" i="5"/>
  <c r="K164" i="5"/>
  <c r="S163" i="5"/>
  <c r="R163" i="5"/>
  <c r="Q163" i="5"/>
  <c r="P163" i="5"/>
  <c r="O163" i="5"/>
  <c r="N163" i="5"/>
  <c r="M163" i="5"/>
  <c r="L163" i="5"/>
  <c r="K163" i="5"/>
  <c r="S162" i="5"/>
  <c r="R162" i="5"/>
  <c r="Q162" i="5"/>
  <c r="P162" i="5"/>
  <c r="O162" i="5"/>
  <c r="N162" i="5"/>
  <c r="M162" i="5"/>
  <c r="L162" i="5"/>
  <c r="K162" i="5"/>
  <c r="S161" i="5"/>
  <c r="R161" i="5"/>
  <c r="Q161" i="5"/>
  <c r="P161" i="5"/>
  <c r="O161" i="5"/>
  <c r="N161" i="5"/>
  <c r="M161" i="5"/>
  <c r="L161" i="5"/>
  <c r="K161" i="5"/>
  <c r="S160" i="5"/>
  <c r="R160" i="5"/>
  <c r="Q160" i="5"/>
  <c r="P160" i="5"/>
  <c r="O160" i="5"/>
  <c r="N160" i="5"/>
  <c r="M160" i="5"/>
  <c r="L160" i="5"/>
  <c r="K160" i="5"/>
  <c r="S159" i="5"/>
  <c r="R159" i="5"/>
  <c r="Q159" i="5"/>
  <c r="P159" i="5"/>
  <c r="O159" i="5"/>
  <c r="N159" i="5"/>
  <c r="M159" i="5"/>
  <c r="L159" i="5"/>
  <c r="K159" i="5"/>
  <c r="S158" i="5"/>
  <c r="R158" i="5"/>
  <c r="Q158" i="5"/>
  <c r="P158" i="5"/>
  <c r="O158" i="5"/>
  <c r="N158" i="5"/>
  <c r="M158" i="5"/>
  <c r="L158" i="5"/>
  <c r="K158" i="5"/>
  <c r="S157" i="5"/>
  <c r="R157" i="5"/>
  <c r="Q157" i="5"/>
  <c r="P157" i="5"/>
  <c r="O157" i="5"/>
  <c r="N157" i="5"/>
  <c r="M157" i="5"/>
  <c r="L157" i="5"/>
  <c r="K157" i="5"/>
  <c r="S156" i="5"/>
  <c r="R156" i="5"/>
  <c r="Q156" i="5"/>
  <c r="P156" i="5"/>
  <c r="O156" i="5"/>
  <c r="N156" i="5"/>
  <c r="M156" i="5"/>
  <c r="L156" i="5"/>
  <c r="K156" i="5"/>
  <c r="S155" i="5"/>
  <c r="R155" i="5"/>
  <c r="Q155" i="5"/>
  <c r="P155" i="5"/>
  <c r="O155" i="5"/>
  <c r="N155" i="5"/>
  <c r="M155" i="5"/>
  <c r="L155" i="5"/>
  <c r="K155" i="5"/>
  <c r="S154" i="5"/>
  <c r="R154" i="5"/>
  <c r="Q154" i="5"/>
  <c r="P154" i="5"/>
  <c r="O154" i="5"/>
  <c r="N154" i="5"/>
  <c r="M154" i="5"/>
  <c r="L154" i="5"/>
  <c r="K154" i="5"/>
  <c r="S153" i="5"/>
  <c r="R153" i="5"/>
  <c r="Q153" i="5"/>
  <c r="P153" i="5"/>
  <c r="O153" i="5"/>
  <c r="N153" i="5"/>
  <c r="M153" i="5"/>
  <c r="L153" i="5"/>
  <c r="K153" i="5"/>
  <c r="S152" i="5"/>
  <c r="R152" i="5"/>
  <c r="Q152" i="5"/>
  <c r="P152" i="5"/>
  <c r="O152" i="5"/>
  <c r="N152" i="5"/>
  <c r="M152" i="5"/>
  <c r="L152" i="5"/>
  <c r="K152" i="5"/>
  <c r="S151" i="5"/>
  <c r="R151" i="5"/>
  <c r="Q151" i="5"/>
  <c r="P151" i="5"/>
  <c r="O151" i="5"/>
  <c r="N151" i="5"/>
  <c r="M151" i="5"/>
  <c r="L151" i="5"/>
  <c r="K151" i="5"/>
  <c r="S150" i="5"/>
  <c r="R150" i="5"/>
  <c r="Q150" i="5"/>
  <c r="P150" i="5"/>
  <c r="O150" i="5"/>
  <c r="N150" i="5"/>
  <c r="M150" i="5"/>
  <c r="L150" i="5"/>
  <c r="K150" i="5"/>
  <c r="S149" i="5"/>
  <c r="R149" i="5"/>
  <c r="Q149" i="5"/>
  <c r="P149" i="5"/>
  <c r="O149" i="5"/>
  <c r="N149" i="5"/>
  <c r="M149" i="5"/>
  <c r="L149" i="5"/>
  <c r="K149" i="5"/>
  <c r="S148" i="5"/>
  <c r="R148" i="5"/>
  <c r="Q148" i="5"/>
  <c r="P148" i="5"/>
  <c r="O148" i="5"/>
  <c r="N148" i="5"/>
  <c r="M148" i="5"/>
  <c r="L148" i="5"/>
  <c r="K148" i="5"/>
  <c r="S147" i="5"/>
  <c r="R147" i="5"/>
  <c r="Q147" i="5"/>
  <c r="P147" i="5"/>
  <c r="O147" i="5"/>
  <c r="N147" i="5"/>
  <c r="M147" i="5"/>
  <c r="L147" i="5"/>
  <c r="K147" i="5"/>
  <c r="S146" i="5"/>
  <c r="R146" i="5"/>
  <c r="Q146" i="5"/>
  <c r="P146" i="5"/>
  <c r="O146" i="5"/>
  <c r="N146" i="5"/>
  <c r="M146" i="5"/>
  <c r="L146" i="5"/>
  <c r="K146" i="5"/>
  <c r="S145" i="5"/>
  <c r="R145" i="5"/>
  <c r="Q145" i="5"/>
  <c r="P145" i="5"/>
  <c r="O145" i="5"/>
  <c r="N145" i="5"/>
  <c r="M145" i="5"/>
  <c r="L145" i="5"/>
  <c r="K145" i="5"/>
  <c r="S144" i="5"/>
  <c r="R144" i="5"/>
  <c r="Q144" i="5"/>
  <c r="P144" i="5"/>
  <c r="O144" i="5"/>
  <c r="N144" i="5"/>
  <c r="M144" i="5"/>
  <c r="L144" i="5"/>
  <c r="K144" i="5"/>
  <c r="S143" i="5"/>
  <c r="R143" i="5"/>
  <c r="Q143" i="5"/>
  <c r="P143" i="5"/>
  <c r="O143" i="5"/>
  <c r="N143" i="5"/>
  <c r="M143" i="5"/>
  <c r="L143" i="5"/>
  <c r="K143" i="5"/>
  <c r="S142" i="5"/>
  <c r="R142" i="5"/>
  <c r="Q142" i="5"/>
  <c r="P142" i="5"/>
  <c r="O142" i="5"/>
  <c r="N142" i="5"/>
  <c r="M142" i="5"/>
  <c r="L142" i="5"/>
  <c r="K142" i="5"/>
  <c r="S141" i="5"/>
  <c r="R141" i="5"/>
  <c r="Q141" i="5"/>
  <c r="P141" i="5"/>
  <c r="O141" i="5"/>
  <c r="N141" i="5"/>
  <c r="M141" i="5"/>
  <c r="L141" i="5"/>
  <c r="K141" i="5"/>
  <c r="S140" i="5"/>
  <c r="R140" i="5"/>
  <c r="Q140" i="5"/>
  <c r="P140" i="5"/>
  <c r="O140" i="5"/>
  <c r="N140" i="5"/>
  <c r="M140" i="5"/>
  <c r="L140" i="5"/>
  <c r="K140" i="5"/>
  <c r="S139" i="5"/>
  <c r="R139" i="5"/>
  <c r="Q139" i="5"/>
  <c r="P139" i="5"/>
  <c r="O139" i="5"/>
  <c r="N139" i="5"/>
  <c r="M139" i="5"/>
  <c r="L139" i="5"/>
  <c r="K139" i="5"/>
  <c r="S138" i="5"/>
  <c r="R138" i="5"/>
  <c r="Q138" i="5"/>
  <c r="P138" i="5"/>
  <c r="O138" i="5"/>
  <c r="N138" i="5"/>
  <c r="M138" i="5"/>
  <c r="L138" i="5"/>
  <c r="K138" i="5"/>
  <c r="S137" i="5"/>
  <c r="R137" i="5"/>
  <c r="Q137" i="5"/>
  <c r="P137" i="5"/>
  <c r="O137" i="5"/>
  <c r="N137" i="5"/>
  <c r="M137" i="5"/>
  <c r="L137" i="5"/>
  <c r="K137" i="5"/>
  <c r="S136" i="5"/>
  <c r="R136" i="5"/>
  <c r="Q136" i="5"/>
  <c r="P136" i="5"/>
  <c r="O136" i="5"/>
  <c r="N136" i="5"/>
  <c r="M136" i="5"/>
  <c r="L136" i="5"/>
  <c r="K136" i="5"/>
  <c r="S135" i="5"/>
  <c r="R135" i="5"/>
  <c r="Q135" i="5"/>
  <c r="P135" i="5"/>
  <c r="O135" i="5"/>
  <c r="N135" i="5"/>
  <c r="M135" i="5"/>
  <c r="L135" i="5"/>
  <c r="K135" i="5"/>
  <c r="S134" i="5"/>
  <c r="R134" i="5"/>
  <c r="Q134" i="5"/>
  <c r="P134" i="5"/>
  <c r="O134" i="5"/>
  <c r="N134" i="5"/>
  <c r="M134" i="5"/>
  <c r="L134" i="5"/>
  <c r="K134" i="5"/>
  <c r="S133" i="5"/>
  <c r="R133" i="5"/>
  <c r="Q133" i="5"/>
  <c r="P133" i="5"/>
  <c r="O133" i="5"/>
  <c r="N133" i="5"/>
  <c r="M133" i="5"/>
  <c r="L133" i="5"/>
  <c r="K133" i="5"/>
  <c r="S132" i="5"/>
  <c r="R132" i="5"/>
  <c r="Q132" i="5"/>
  <c r="P132" i="5"/>
  <c r="O132" i="5"/>
  <c r="N132" i="5"/>
  <c r="M132" i="5"/>
  <c r="L132" i="5"/>
  <c r="K132" i="5"/>
  <c r="S131" i="5"/>
  <c r="R131" i="5"/>
  <c r="Q131" i="5"/>
  <c r="P131" i="5"/>
  <c r="O131" i="5"/>
  <c r="N131" i="5"/>
  <c r="M131" i="5"/>
  <c r="L131" i="5"/>
  <c r="K131" i="5"/>
  <c r="S130" i="5"/>
  <c r="R130" i="5"/>
  <c r="Q130" i="5"/>
  <c r="P130" i="5"/>
  <c r="O130" i="5"/>
  <c r="N130" i="5"/>
  <c r="M130" i="5"/>
  <c r="L130" i="5"/>
  <c r="K130" i="5"/>
  <c r="S129" i="5"/>
  <c r="R129" i="5"/>
  <c r="Q129" i="5"/>
  <c r="P129" i="5"/>
  <c r="O129" i="5"/>
  <c r="N129" i="5"/>
  <c r="M129" i="5"/>
  <c r="L129" i="5"/>
  <c r="K129" i="5"/>
  <c r="S128" i="5"/>
  <c r="R128" i="5"/>
  <c r="Q128" i="5"/>
  <c r="P128" i="5"/>
  <c r="O128" i="5"/>
  <c r="N128" i="5"/>
  <c r="M128" i="5"/>
  <c r="L128" i="5"/>
  <c r="K128" i="5"/>
  <c r="S127" i="5"/>
  <c r="R127" i="5"/>
  <c r="Q127" i="5"/>
  <c r="P127" i="5"/>
  <c r="O127" i="5"/>
  <c r="N127" i="5"/>
  <c r="M127" i="5"/>
  <c r="L127" i="5"/>
  <c r="K127" i="5"/>
  <c r="S126" i="5"/>
  <c r="R126" i="5"/>
  <c r="Q126" i="5"/>
  <c r="P126" i="5"/>
  <c r="O126" i="5"/>
  <c r="N126" i="5"/>
  <c r="M126" i="5"/>
  <c r="L126" i="5"/>
  <c r="K126" i="5"/>
  <c r="S125" i="5"/>
  <c r="R125" i="5"/>
  <c r="Q125" i="5"/>
  <c r="P125" i="5"/>
  <c r="O125" i="5"/>
  <c r="N125" i="5"/>
  <c r="M125" i="5"/>
  <c r="L125" i="5"/>
  <c r="K125" i="5"/>
  <c r="S124" i="5"/>
  <c r="R124" i="5"/>
  <c r="Q124" i="5"/>
  <c r="P124" i="5"/>
  <c r="O124" i="5"/>
  <c r="N124" i="5"/>
  <c r="M124" i="5"/>
  <c r="L124" i="5"/>
  <c r="K124" i="5"/>
  <c r="S123" i="5"/>
  <c r="R123" i="5"/>
  <c r="Q123" i="5"/>
  <c r="P123" i="5"/>
  <c r="O123" i="5"/>
  <c r="N123" i="5"/>
  <c r="M123" i="5"/>
  <c r="L123" i="5"/>
  <c r="K123" i="5"/>
  <c r="S122" i="5"/>
  <c r="R122" i="5"/>
  <c r="Q122" i="5"/>
  <c r="P122" i="5"/>
  <c r="O122" i="5"/>
  <c r="N122" i="5"/>
  <c r="M122" i="5"/>
  <c r="L122" i="5"/>
  <c r="K122" i="5"/>
  <c r="S121" i="5"/>
  <c r="R121" i="5"/>
  <c r="Q121" i="5"/>
  <c r="P121" i="5"/>
  <c r="O121" i="5"/>
  <c r="N121" i="5"/>
  <c r="M121" i="5"/>
  <c r="L121" i="5"/>
  <c r="K121" i="5"/>
  <c r="S120" i="5"/>
  <c r="R120" i="5"/>
  <c r="Q120" i="5"/>
  <c r="P120" i="5"/>
  <c r="O120" i="5"/>
  <c r="N120" i="5"/>
  <c r="M120" i="5"/>
  <c r="L120" i="5"/>
  <c r="K120" i="5"/>
  <c r="S119" i="5"/>
  <c r="R119" i="5"/>
  <c r="Q119" i="5"/>
  <c r="P119" i="5"/>
  <c r="O119" i="5"/>
  <c r="N119" i="5"/>
  <c r="M119" i="5"/>
  <c r="L119" i="5"/>
  <c r="K119" i="5"/>
  <c r="S118" i="5"/>
  <c r="R118" i="5"/>
  <c r="Q118" i="5"/>
  <c r="P118" i="5"/>
  <c r="O118" i="5"/>
  <c r="N118" i="5"/>
  <c r="M118" i="5"/>
  <c r="L118" i="5"/>
  <c r="K118" i="5"/>
  <c r="S117" i="5"/>
  <c r="R117" i="5"/>
  <c r="Q117" i="5"/>
  <c r="P117" i="5"/>
  <c r="O117" i="5"/>
  <c r="N117" i="5"/>
  <c r="M117" i="5"/>
  <c r="L117" i="5"/>
  <c r="K117" i="5"/>
  <c r="S116" i="5"/>
  <c r="R116" i="5"/>
  <c r="Q116" i="5"/>
  <c r="P116" i="5"/>
  <c r="O116" i="5"/>
  <c r="N116" i="5"/>
  <c r="M116" i="5"/>
  <c r="L116" i="5"/>
  <c r="K116" i="5"/>
  <c r="S115" i="5"/>
  <c r="R115" i="5"/>
  <c r="Q115" i="5"/>
  <c r="P115" i="5"/>
  <c r="O115" i="5"/>
  <c r="N115" i="5"/>
  <c r="M115" i="5"/>
  <c r="L115" i="5"/>
  <c r="K115" i="5"/>
  <c r="S114" i="5"/>
  <c r="R114" i="5"/>
  <c r="Q114" i="5"/>
  <c r="P114" i="5"/>
  <c r="O114" i="5"/>
  <c r="N114" i="5"/>
  <c r="M114" i="5"/>
  <c r="L114" i="5"/>
  <c r="K114" i="5"/>
  <c r="S113" i="5"/>
  <c r="R113" i="5"/>
  <c r="Q113" i="5"/>
  <c r="P113" i="5"/>
  <c r="O113" i="5"/>
  <c r="N113" i="5"/>
  <c r="M113" i="5"/>
  <c r="L113" i="5"/>
  <c r="K113" i="5"/>
  <c r="S112" i="5"/>
  <c r="R112" i="5"/>
  <c r="Q112" i="5"/>
  <c r="P112" i="5"/>
  <c r="O112" i="5"/>
  <c r="N112" i="5"/>
  <c r="M112" i="5"/>
  <c r="L112" i="5"/>
  <c r="K112" i="5"/>
  <c r="S111" i="5"/>
  <c r="R111" i="5"/>
  <c r="Q111" i="5"/>
  <c r="P111" i="5"/>
  <c r="O111" i="5"/>
  <c r="N111" i="5"/>
  <c r="M111" i="5"/>
  <c r="L111" i="5"/>
  <c r="K111" i="5"/>
  <c r="S110" i="5"/>
  <c r="R110" i="5"/>
  <c r="Q110" i="5"/>
  <c r="P110" i="5"/>
  <c r="O110" i="5"/>
  <c r="N110" i="5"/>
  <c r="M110" i="5"/>
  <c r="L110" i="5"/>
  <c r="K110" i="5"/>
  <c r="S109" i="5"/>
  <c r="R109" i="5"/>
  <c r="Q109" i="5"/>
  <c r="P109" i="5"/>
  <c r="O109" i="5"/>
  <c r="N109" i="5"/>
  <c r="M109" i="5"/>
  <c r="L109" i="5"/>
  <c r="K109" i="5"/>
  <c r="S108" i="5"/>
  <c r="R108" i="5"/>
  <c r="Q108" i="5"/>
  <c r="P108" i="5"/>
  <c r="O108" i="5"/>
  <c r="N108" i="5"/>
  <c r="M108" i="5"/>
  <c r="L108" i="5"/>
  <c r="K108" i="5"/>
  <c r="S107" i="5"/>
  <c r="R107" i="5"/>
  <c r="Q107" i="5"/>
  <c r="P107" i="5"/>
  <c r="O107" i="5"/>
  <c r="N107" i="5"/>
  <c r="M107" i="5"/>
  <c r="L107" i="5"/>
  <c r="K107" i="5"/>
  <c r="S106" i="5"/>
  <c r="R106" i="5"/>
  <c r="Q106" i="5"/>
  <c r="P106" i="5"/>
  <c r="O106" i="5"/>
  <c r="N106" i="5"/>
  <c r="M106" i="5"/>
  <c r="L106" i="5"/>
  <c r="K106" i="5"/>
  <c r="S105" i="5"/>
  <c r="R105" i="5"/>
  <c r="Q105" i="5"/>
  <c r="P105" i="5"/>
  <c r="O105" i="5"/>
  <c r="N105" i="5"/>
  <c r="M105" i="5"/>
  <c r="L105" i="5"/>
  <c r="K105" i="5"/>
  <c r="S104" i="5"/>
  <c r="R104" i="5"/>
  <c r="Q104" i="5"/>
  <c r="P104" i="5"/>
  <c r="O104" i="5"/>
  <c r="N104" i="5"/>
  <c r="M104" i="5"/>
  <c r="L104" i="5"/>
  <c r="K104" i="5"/>
  <c r="S103" i="5"/>
  <c r="R103" i="5"/>
  <c r="Q103" i="5"/>
  <c r="P103" i="5"/>
  <c r="O103" i="5"/>
  <c r="N103" i="5"/>
  <c r="M103" i="5"/>
  <c r="L103" i="5"/>
  <c r="K103" i="5"/>
  <c r="S102" i="5"/>
  <c r="R102" i="5"/>
  <c r="Q102" i="5"/>
  <c r="P102" i="5"/>
  <c r="O102" i="5"/>
  <c r="N102" i="5"/>
  <c r="M102" i="5"/>
  <c r="L102" i="5"/>
  <c r="K102" i="5"/>
  <c r="S101" i="5"/>
  <c r="R101" i="5"/>
  <c r="Q101" i="5"/>
  <c r="P101" i="5"/>
  <c r="O101" i="5"/>
  <c r="N101" i="5"/>
  <c r="M101" i="5"/>
  <c r="L101" i="5"/>
  <c r="K101" i="5"/>
  <c r="S100" i="5"/>
  <c r="R100" i="5"/>
  <c r="Q100" i="5"/>
  <c r="P100" i="5"/>
  <c r="O100" i="5"/>
  <c r="N100" i="5"/>
  <c r="M100" i="5"/>
  <c r="L100" i="5"/>
  <c r="K100" i="5"/>
  <c r="S99" i="5"/>
  <c r="R99" i="5"/>
  <c r="Q99" i="5"/>
  <c r="P99" i="5"/>
  <c r="O99" i="5"/>
  <c r="N99" i="5"/>
  <c r="M99" i="5"/>
  <c r="L99" i="5"/>
  <c r="K99" i="5"/>
  <c r="S98" i="5"/>
  <c r="R98" i="5"/>
  <c r="Q98" i="5"/>
  <c r="P98" i="5"/>
  <c r="O98" i="5"/>
  <c r="N98" i="5"/>
  <c r="M98" i="5"/>
  <c r="L98" i="5"/>
  <c r="K98" i="5"/>
  <c r="S97" i="5"/>
  <c r="R97" i="5"/>
  <c r="Q97" i="5"/>
  <c r="P97" i="5"/>
  <c r="O97" i="5"/>
  <c r="N97" i="5"/>
  <c r="M97" i="5"/>
  <c r="L97" i="5"/>
  <c r="K97" i="5"/>
  <c r="S96" i="5"/>
  <c r="R96" i="5"/>
  <c r="Q96" i="5"/>
  <c r="P96" i="5"/>
  <c r="O96" i="5"/>
  <c r="N96" i="5"/>
  <c r="M96" i="5"/>
  <c r="L96" i="5"/>
  <c r="K96" i="5"/>
  <c r="S95" i="5"/>
  <c r="R95" i="5"/>
  <c r="Q95" i="5"/>
  <c r="P95" i="5"/>
  <c r="O95" i="5"/>
  <c r="N95" i="5"/>
  <c r="M95" i="5"/>
  <c r="L95" i="5"/>
  <c r="K95" i="5"/>
  <c r="S94" i="5"/>
  <c r="R94" i="5"/>
  <c r="Q94" i="5"/>
  <c r="P94" i="5"/>
  <c r="O94" i="5"/>
  <c r="N94" i="5"/>
  <c r="M94" i="5"/>
  <c r="L94" i="5"/>
  <c r="K94" i="5"/>
  <c r="S93" i="5"/>
  <c r="R93" i="5"/>
  <c r="Q93" i="5"/>
  <c r="P93" i="5"/>
  <c r="O93" i="5"/>
  <c r="N93" i="5"/>
  <c r="M93" i="5"/>
  <c r="L93" i="5"/>
  <c r="K93" i="5"/>
  <c r="S92" i="5"/>
  <c r="R92" i="5"/>
  <c r="Q92" i="5"/>
  <c r="P92" i="5"/>
  <c r="O92" i="5"/>
  <c r="N92" i="5"/>
  <c r="M92" i="5"/>
  <c r="L92" i="5"/>
  <c r="K92" i="5"/>
  <c r="S91" i="5"/>
  <c r="R91" i="5"/>
  <c r="Q91" i="5"/>
  <c r="P91" i="5"/>
  <c r="O91" i="5"/>
  <c r="N91" i="5"/>
  <c r="M91" i="5"/>
  <c r="L91" i="5"/>
  <c r="K91" i="5"/>
  <c r="S90" i="5"/>
  <c r="R90" i="5"/>
  <c r="Q90" i="5"/>
  <c r="P90" i="5"/>
  <c r="O90" i="5"/>
  <c r="N90" i="5"/>
  <c r="M90" i="5"/>
  <c r="L90" i="5"/>
  <c r="K90" i="5"/>
  <c r="S89" i="5"/>
  <c r="R89" i="5"/>
  <c r="Q89" i="5"/>
  <c r="P89" i="5"/>
  <c r="O89" i="5"/>
  <c r="N89" i="5"/>
  <c r="M89" i="5"/>
  <c r="L89" i="5"/>
  <c r="K89" i="5"/>
  <c r="S88" i="5"/>
  <c r="R88" i="5"/>
  <c r="Q88" i="5"/>
  <c r="P88" i="5"/>
  <c r="O88" i="5"/>
  <c r="N88" i="5"/>
  <c r="M88" i="5"/>
  <c r="L88" i="5"/>
  <c r="K88" i="5"/>
  <c r="S87" i="5"/>
  <c r="R87" i="5"/>
  <c r="Q87" i="5"/>
  <c r="P87" i="5"/>
  <c r="O87" i="5"/>
  <c r="N87" i="5"/>
  <c r="M87" i="5"/>
  <c r="L87" i="5"/>
  <c r="K87" i="5"/>
  <c r="S86" i="5"/>
  <c r="R86" i="5"/>
  <c r="Q86" i="5"/>
  <c r="P86" i="5"/>
  <c r="O86" i="5"/>
  <c r="N86" i="5"/>
  <c r="M86" i="5"/>
  <c r="L86" i="5"/>
  <c r="K86" i="5"/>
  <c r="S85" i="5"/>
  <c r="R85" i="5"/>
  <c r="Q85" i="5"/>
  <c r="P85" i="5"/>
  <c r="O85" i="5"/>
  <c r="N85" i="5"/>
  <c r="M85" i="5"/>
  <c r="L85" i="5"/>
  <c r="K85" i="5"/>
  <c r="S84" i="5"/>
  <c r="R84" i="5"/>
  <c r="Q84" i="5"/>
  <c r="P84" i="5"/>
  <c r="O84" i="5"/>
  <c r="N84" i="5"/>
  <c r="M84" i="5"/>
  <c r="L84" i="5"/>
  <c r="K84" i="5"/>
  <c r="S83" i="5"/>
  <c r="R83" i="5"/>
  <c r="Q83" i="5"/>
  <c r="P83" i="5"/>
  <c r="O83" i="5"/>
  <c r="N83" i="5"/>
  <c r="M83" i="5"/>
  <c r="L83" i="5"/>
  <c r="K83" i="5"/>
  <c r="S82" i="5"/>
  <c r="R82" i="5"/>
  <c r="Q82" i="5"/>
  <c r="P82" i="5"/>
  <c r="O82" i="5"/>
  <c r="N82" i="5"/>
  <c r="M82" i="5"/>
  <c r="L82" i="5"/>
  <c r="K82" i="5"/>
  <c r="S81" i="5"/>
  <c r="R81" i="5"/>
  <c r="Q81" i="5"/>
  <c r="P81" i="5"/>
  <c r="O81" i="5"/>
  <c r="N81" i="5"/>
  <c r="M81" i="5"/>
  <c r="L81" i="5"/>
  <c r="K81" i="5"/>
  <c r="S80" i="5"/>
  <c r="R80" i="5"/>
  <c r="Q80" i="5"/>
  <c r="P80" i="5"/>
  <c r="O80" i="5"/>
  <c r="N80" i="5"/>
  <c r="M80" i="5"/>
  <c r="L80" i="5"/>
  <c r="K80" i="5"/>
  <c r="S79" i="5"/>
  <c r="R79" i="5"/>
  <c r="Q79" i="5"/>
  <c r="P79" i="5"/>
  <c r="O79" i="5"/>
  <c r="N79" i="5"/>
  <c r="M79" i="5"/>
  <c r="L79" i="5"/>
  <c r="K79" i="5"/>
  <c r="S78" i="5"/>
  <c r="R78" i="5"/>
  <c r="Q78" i="5"/>
  <c r="P78" i="5"/>
  <c r="O78" i="5"/>
  <c r="N78" i="5"/>
  <c r="M78" i="5"/>
  <c r="L78" i="5"/>
  <c r="K78" i="5"/>
  <c r="S77" i="5"/>
  <c r="R77" i="5"/>
  <c r="Q77" i="5"/>
  <c r="P77" i="5"/>
  <c r="O77" i="5"/>
  <c r="N77" i="5"/>
  <c r="M77" i="5"/>
  <c r="L77" i="5"/>
  <c r="K77" i="5"/>
  <c r="S76" i="5"/>
  <c r="R76" i="5"/>
  <c r="Q76" i="5"/>
  <c r="P76" i="5"/>
  <c r="O76" i="5"/>
  <c r="N76" i="5"/>
  <c r="M76" i="5"/>
  <c r="L76" i="5"/>
  <c r="K76" i="5"/>
  <c r="S75" i="5"/>
  <c r="R75" i="5"/>
  <c r="Q75" i="5"/>
  <c r="P75" i="5"/>
  <c r="O75" i="5"/>
  <c r="N75" i="5"/>
  <c r="M75" i="5"/>
  <c r="L75" i="5"/>
  <c r="K75" i="5"/>
  <c r="S74" i="5"/>
  <c r="R74" i="5"/>
  <c r="Q74" i="5"/>
  <c r="P74" i="5"/>
  <c r="O74" i="5"/>
  <c r="N74" i="5"/>
  <c r="M74" i="5"/>
  <c r="L74" i="5"/>
  <c r="K74" i="5"/>
  <c r="S73" i="5"/>
  <c r="R73" i="5"/>
  <c r="Q73" i="5"/>
  <c r="P73" i="5"/>
  <c r="O73" i="5"/>
  <c r="N73" i="5"/>
  <c r="M73" i="5"/>
  <c r="L73" i="5"/>
  <c r="K73" i="5"/>
  <c r="S72" i="5"/>
  <c r="R72" i="5"/>
  <c r="Q72" i="5"/>
  <c r="P72" i="5"/>
  <c r="O72" i="5"/>
  <c r="N72" i="5"/>
  <c r="M72" i="5"/>
  <c r="L72" i="5"/>
  <c r="K72" i="5"/>
  <c r="S71" i="5"/>
  <c r="R71" i="5"/>
  <c r="Q71" i="5"/>
  <c r="P71" i="5"/>
  <c r="O71" i="5"/>
  <c r="N71" i="5"/>
  <c r="M71" i="5"/>
  <c r="L71" i="5"/>
  <c r="K71" i="5"/>
  <c r="S70" i="5"/>
  <c r="R70" i="5"/>
  <c r="Q70" i="5"/>
  <c r="P70" i="5"/>
  <c r="O70" i="5"/>
  <c r="N70" i="5"/>
  <c r="M70" i="5"/>
  <c r="L70" i="5"/>
  <c r="K70" i="5"/>
  <c r="S69" i="5"/>
  <c r="R69" i="5"/>
  <c r="Q69" i="5"/>
  <c r="P69" i="5"/>
  <c r="O69" i="5"/>
  <c r="N69" i="5"/>
  <c r="M69" i="5"/>
  <c r="L69" i="5"/>
  <c r="K69" i="5"/>
  <c r="S68" i="5"/>
  <c r="R68" i="5"/>
  <c r="Q68" i="5"/>
  <c r="P68" i="5"/>
  <c r="O68" i="5"/>
  <c r="N68" i="5"/>
  <c r="M68" i="5"/>
  <c r="L68" i="5"/>
  <c r="K68" i="5"/>
  <c r="S67" i="5"/>
  <c r="R67" i="5"/>
  <c r="Q67" i="5"/>
  <c r="P67" i="5"/>
  <c r="O67" i="5"/>
  <c r="N67" i="5"/>
  <c r="M67" i="5"/>
  <c r="L67" i="5"/>
  <c r="K67" i="5"/>
  <c r="S66" i="5"/>
  <c r="R66" i="5"/>
  <c r="Q66" i="5"/>
  <c r="P66" i="5"/>
  <c r="O66" i="5"/>
  <c r="N66" i="5"/>
  <c r="M66" i="5"/>
  <c r="L66" i="5"/>
  <c r="K66" i="5"/>
  <c r="S65" i="5"/>
  <c r="R65" i="5"/>
  <c r="Q65" i="5"/>
  <c r="P65" i="5"/>
  <c r="O65" i="5"/>
  <c r="N65" i="5"/>
  <c r="M65" i="5"/>
  <c r="L65" i="5"/>
  <c r="K65" i="5"/>
  <c r="S64" i="5"/>
  <c r="R64" i="5"/>
  <c r="Q64" i="5"/>
  <c r="P64" i="5"/>
  <c r="O64" i="5"/>
  <c r="N64" i="5"/>
  <c r="M64" i="5"/>
  <c r="L64" i="5"/>
  <c r="K64" i="5"/>
  <c r="S63" i="5"/>
  <c r="R63" i="5"/>
  <c r="Q63" i="5"/>
  <c r="P63" i="5"/>
  <c r="O63" i="5"/>
  <c r="N63" i="5"/>
  <c r="M63" i="5"/>
  <c r="L63" i="5"/>
  <c r="K63" i="5"/>
  <c r="S62" i="5"/>
  <c r="R62" i="5"/>
  <c r="Q62" i="5"/>
  <c r="P62" i="5"/>
  <c r="O62" i="5"/>
  <c r="N62" i="5"/>
  <c r="M62" i="5"/>
  <c r="L62" i="5"/>
  <c r="K62" i="5"/>
  <c r="S61" i="5"/>
  <c r="R61" i="5"/>
  <c r="Q61" i="5"/>
  <c r="P61" i="5"/>
  <c r="O61" i="5"/>
  <c r="N61" i="5"/>
  <c r="M61" i="5"/>
  <c r="L61" i="5"/>
  <c r="K61" i="5"/>
  <c r="S60" i="5"/>
  <c r="R60" i="5"/>
  <c r="Q60" i="5"/>
  <c r="P60" i="5"/>
  <c r="O60" i="5"/>
  <c r="N60" i="5"/>
  <c r="M60" i="5"/>
  <c r="L60" i="5"/>
  <c r="K60" i="5"/>
  <c r="S59" i="5"/>
  <c r="R59" i="5"/>
  <c r="Q59" i="5"/>
  <c r="P59" i="5"/>
  <c r="O59" i="5"/>
  <c r="N59" i="5"/>
  <c r="M59" i="5"/>
  <c r="L59" i="5"/>
  <c r="K59" i="5"/>
  <c r="S58" i="5"/>
  <c r="R58" i="5"/>
  <c r="Q58" i="5"/>
  <c r="P58" i="5"/>
  <c r="O58" i="5"/>
  <c r="N58" i="5"/>
  <c r="M58" i="5"/>
  <c r="L58" i="5"/>
  <c r="K58" i="5"/>
  <c r="S57" i="5"/>
  <c r="R57" i="5"/>
  <c r="Q57" i="5"/>
  <c r="P57" i="5"/>
  <c r="O57" i="5"/>
  <c r="N57" i="5"/>
  <c r="M57" i="5"/>
  <c r="L57" i="5"/>
  <c r="K57" i="5"/>
  <c r="S56" i="5"/>
  <c r="R56" i="5"/>
  <c r="Q56" i="5"/>
  <c r="P56" i="5"/>
  <c r="O56" i="5"/>
  <c r="N56" i="5"/>
  <c r="M56" i="5"/>
  <c r="L56" i="5"/>
  <c r="K56" i="5"/>
  <c r="S55" i="5"/>
  <c r="R55" i="5"/>
  <c r="Q55" i="5"/>
  <c r="P55" i="5"/>
  <c r="O55" i="5"/>
  <c r="N55" i="5"/>
  <c r="M55" i="5"/>
  <c r="L55" i="5"/>
  <c r="K55" i="5"/>
  <c r="S54" i="5"/>
  <c r="R54" i="5"/>
  <c r="Q54" i="5"/>
  <c r="P54" i="5"/>
  <c r="O54" i="5"/>
  <c r="N54" i="5"/>
  <c r="M54" i="5"/>
  <c r="L54" i="5"/>
  <c r="K54" i="5"/>
  <c r="S53" i="5"/>
  <c r="R53" i="5"/>
  <c r="Q53" i="5"/>
  <c r="P53" i="5"/>
  <c r="O53" i="5"/>
  <c r="N53" i="5"/>
  <c r="M53" i="5"/>
  <c r="L53" i="5"/>
  <c r="K53" i="5"/>
  <c r="S52" i="5"/>
  <c r="R52" i="5"/>
  <c r="Q52" i="5"/>
  <c r="P52" i="5"/>
  <c r="O52" i="5"/>
  <c r="N52" i="5"/>
  <c r="M52" i="5"/>
  <c r="L52" i="5"/>
  <c r="K52" i="5"/>
  <c r="S51" i="5"/>
  <c r="R51" i="5"/>
  <c r="Q51" i="5"/>
  <c r="P51" i="5"/>
  <c r="O51" i="5"/>
  <c r="N51" i="5"/>
  <c r="M51" i="5"/>
  <c r="L51" i="5"/>
  <c r="K51" i="5"/>
  <c r="S50" i="5"/>
  <c r="R50" i="5"/>
  <c r="Q50" i="5"/>
  <c r="P50" i="5"/>
  <c r="O50" i="5"/>
  <c r="N50" i="5"/>
  <c r="M50" i="5"/>
  <c r="L50" i="5"/>
  <c r="K50" i="5"/>
  <c r="S49" i="5"/>
  <c r="R49" i="5"/>
  <c r="Q49" i="5"/>
  <c r="P49" i="5"/>
  <c r="O49" i="5"/>
  <c r="N49" i="5"/>
  <c r="M49" i="5"/>
  <c r="L49" i="5"/>
  <c r="K49" i="5"/>
  <c r="S48" i="5"/>
  <c r="R48" i="5"/>
  <c r="Q48" i="5"/>
  <c r="P48" i="5"/>
  <c r="O48" i="5"/>
  <c r="N48" i="5"/>
  <c r="M48" i="5"/>
  <c r="L48" i="5"/>
  <c r="K48" i="5"/>
  <c r="S47" i="5"/>
  <c r="R47" i="5"/>
  <c r="Q47" i="5"/>
  <c r="P47" i="5"/>
  <c r="O47" i="5"/>
  <c r="N47" i="5"/>
  <c r="M47" i="5"/>
  <c r="L47" i="5"/>
  <c r="K47" i="5"/>
  <c r="S46" i="5"/>
  <c r="R46" i="5"/>
  <c r="Q46" i="5"/>
  <c r="P46" i="5"/>
  <c r="O46" i="5"/>
  <c r="N46" i="5"/>
  <c r="M46" i="5"/>
  <c r="L46" i="5"/>
  <c r="K46" i="5"/>
  <c r="S45" i="5"/>
  <c r="R45" i="5"/>
  <c r="Q45" i="5"/>
  <c r="P45" i="5"/>
  <c r="O45" i="5"/>
  <c r="N45" i="5"/>
  <c r="M45" i="5"/>
  <c r="L45" i="5"/>
  <c r="K45" i="5"/>
  <c r="S44" i="5"/>
  <c r="R44" i="5"/>
  <c r="Q44" i="5"/>
  <c r="P44" i="5"/>
  <c r="O44" i="5"/>
  <c r="N44" i="5"/>
  <c r="M44" i="5"/>
  <c r="L44" i="5"/>
  <c r="K44" i="5"/>
  <c r="S43" i="5"/>
  <c r="R43" i="5"/>
  <c r="Q43" i="5"/>
  <c r="P43" i="5"/>
  <c r="O43" i="5"/>
  <c r="N43" i="5"/>
  <c r="M43" i="5"/>
  <c r="L43" i="5"/>
  <c r="K43" i="5"/>
  <c r="S42" i="5"/>
  <c r="R42" i="5"/>
  <c r="Q42" i="5"/>
  <c r="P42" i="5"/>
  <c r="O42" i="5"/>
  <c r="N42" i="5"/>
  <c r="M42" i="5"/>
  <c r="L42" i="5"/>
  <c r="K42" i="5"/>
  <c r="S41" i="5"/>
  <c r="R41" i="5"/>
  <c r="Q41" i="5"/>
  <c r="P41" i="5"/>
  <c r="O41" i="5"/>
  <c r="N41" i="5"/>
  <c r="M41" i="5"/>
  <c r="L41" i="5"/>
  <c r="K41" i="5"/>
  <c r="S40" i="5"/>
  <c r="R40" i="5"/>
  <c r="Q40" i="5"/>
  <c r="P40" i="5"/>
  <c r="O40" i="5"/>
  <c r="N40" i="5"/>
  <c r="M40" i="5"/>
  <c r="L40" i="5"/>
  <c r="K40" i="5"/>
  <c r="S39" i="5"/>
  <c r="R39" i="5"/>
  <c r="Q39" i="5"/>
  <c r="P39" i="5"/>
  <c r="O39" i="5"/>
  <c r="N39" i="5"/>
  <c r="M39" i="5"/>
  <c r="L39" i="5"/>
  <c r="K39" i="5"/>
  <c r="S38" i="5"/>
  <c r="R38" i="5"/>
  <c r="Q38" i="5"/>
  <c r="P38" i="5"/>
  <c r="O38" i="5"/>
  <c r="N38" i="5"/>
  <c r="M38" i="5"/>
  <c r="L38" i="5"/>
  <c r="K38" i="5"/>
  <c r="S37" i="5"/>
  <c r="R37" i="5"/>
  <c r="Q37" i="5"/>
  <c r="P37" i="5"/>
  <c r="O37" i="5"/>
  <c r="N37" i="5"/>
  <c r="M37" i="5"/>
  <c r="L37" i="5"/>
  <c r="K37" i="5"/>
  <c r="S36" i="5"/>
  <c r="R36" i="5"/>
  <c r="Q36" i="5"/>
  <c r="P36" i="5"/>
  <c r="O36" i="5"/>
  <c r="N36" i="5"/>
  <c r="M36" i="5"/>
  <c r="L36" i="5"/>
  <c r="K36" i="5"/>
  <c r="S35" i="5"/>
  <c r="R35" i="5"/>
  <c r="Q35" i="5"/>
  <c r="P35" i="5"/>
  <c r="O35" i="5"/>
  <c r="N35" i="5"/>
  <c r="M35" i="5"/>
  <c r="L35" i="5"/>
  <c r="K35" i="5"/>
  <c r="S34" i="5"/>
  <c r="R34" i="5"/>
  <c r="Q34" i="5"/>
  <c r="P34" i="5"/>
  <c r="O34" i="5"/>
  <c r="N34" i="5"/>
  <c r="M34" i="5"/>
  <c r="L34" i="5"/>
  <c r="K34" i="5"/>
  <c r="S33" i="5"/>
  <c r="R33" i="5"/>
  <c r="Q33" i="5"/>
  <c r="P33" i="5"/>
  <c r="O33" i="5"/>
  <c r="N33" i="5"/>
  <c r="M33" i="5"/>
  <c r="L33" i="5"/>
  <c r="K33" i="5"/>
  <c r="S32" i="5"/>
  <c r="R32" i="5"/>
  <c r="Q32" i="5"/>
  <c r="P32" i="5"/>
  <c r="O32" i="5"/>
  <c r="N32" i="5"/>
  <c r="M32" i="5"/>
  <c r="L32" i="5"/>
  <c r="K32" i="5"/>
  <c r="S31" i="5"/>
  <c r="R31" i="5"/>
  <c r="Q31" i="5"/>
  <c r="P31" i="5"/>
  <c r="O31" i="5"/>
  <c r="N31" i="5"/>
  <c r="M31" i="5"/>
  <c r="L31" i="5"/>
  <c r="K31" i="5"/>
  <c r="S30" i="5"/>
  <c r="R30" i="5"/>
  <c r="Q30" i="5"/>
  <c r="P30" i="5"/>
  <c r="O30" i="5"/>
  <c r="N30" i="5"/>
  <c r="M30" i="5"/>
  <c r="L30" i="5"/>
  <c r="K30" i="5"/>
  <c r="S29" i="5"/>
  <c r="R29" i="5"/>
  <c r="Q29" i="5"/>
  <c r="P29" i="5"/>
  <c r="O29" i="5"/>
  <c r="N29" i="5"/>
  <c r="M29" i="5"/>
  <c r="L29" i="5"/>
  <c r="K29" i="5"/>
  <c r="S28" i="5"/>
  <c r="R28" i="5"/>
  <c r="Q28" i="5"/>
  <c r="P28" i="5"/>
  <c r="O28" i="5"/>
  <c r="N28" i="5"/>
  <c r="M28" i="5"/>
  <c r="L28" i="5"/>
  <c r="K28" i="5"/>
  <c r="S27" i="5"/>
  <c r="R27" i="5"/>
  <c r="Q27" i="5"/>
  <c r="P27" i="5"/>
  <c r="O27" i="5"/>
  <c r="N27" i="5"/>
  <c r="M27" i="5"/>
  <c r="L27" i="5"/>
  <c r="K27" i="5"/>
  <c r="S26" i="5"/>
  <c r="R26" i="5"/>
  <c r="Q26" i="5"/>
  <c r="P26" i="5"/>
  <c r="O26" i="5"/>
  <c r="N26" i="5"/>
  <c r="M26" i="5"/>
  <c r="L26" i="5"/>
  <c r="K26" i="5"/>
  <c r="S25" i="5"/>
  <c r="R25" i="5"/>
  <c r="Q25" i="5"/>
  <c r="P25" i="5"/>
  <c r="O25" i="5"/>
  <c r="N25" i="5"/>
  <c r="M25" i="5"/>
  <c r="L25" i="5"/>
  <c r="K25" i="5"/>
  <c r="S24" i="5"/>
  <c r="R24" i="5"/>
  <c r="Q24" i="5"/>
  <c r="P24" i="5"/>
  <c r="O24" i="5"/>
  <c r="N24" i="5"/>
  <c r="M24" i="5"/>
  <c r="L24" i="5"/>
  <c r="K24" i="5"/>
  <c r="S23" i="5"/>
  <c r="R23" i="5"/>
  <c r="Q23" i="5"/>
  <c r="P23" i="5"/>
  <c r="O23" i="5"/>
  <c r="N23" i="5"/>
  <c r="M23" i="5"/>
  <c r="L23" i="5"/>
  <c r="K23" i="5"/>
  <c r="S22" i="5"/>
  <c r="R22" i="5"/>
  <c r="Q22" i="5"/>
  <c r="P22" i="5"/>
  <c r="O22" i="5"/>
  <c r="N22" i="5"/>
  <c r="M22" i="5"/>
  <c r="L22" i="5"/>
  <c r="K22" i="5"/>
  <c r="S21" i="5"/>
  <c r="R21" i="5"/>
  <c r="Q21" i="5"/>
  <c r="P21" i="5"/>
  <c r="O21" i="5"/>
  <c r="N21" i="5"/>
  <c r="M21" i="5"/>
  <c r="L21" i="5"/>
  <c r="K21" i="5"/>
  <c r="S20" i="5"/>
  <c r="R20" i="5"/>
  <c r="Q20" i="5"/>
  <c r="P20" i="5"/>
  <c r="O20" i="5"/>
  <c r="N20" i="5"/>
  <c r="M20" i="5"/>
  <c r="L20" i="5"/>
  <c r="K20" i="5"/>
  <c r="S19" i="5"/>
  <c r="R19" i="5"/>
  <c r="Q19" i="5"/>
  <c r="P19" i="5"/>
  <c r="O19" i="5"/>
  <c r="N19" i="5"/>
  <c r="M19" i="5"/>
  <c r="L19" i="5"/>
  <c r="K19" i="5"/>
  <c r="S18" i="5"/>
  <c r="R18" i="5"/>
  <c r="Q18" i="5"/>
  <c r="P18" i="5"/>
  <c r="O18" i="5"/>
  <c r="N18" i="5"/>
  <c r="M18" i="5"/>
  <c r="L18" i="5"/>
  <c r="K18" i="5"/>
  <c r="S17" i="5"/>
  <c r="R17" i="5"/>
  <c r="Q17" i="5"/>
  <c r="P17" i="5"/>
  <c r="O17" i="5"/>
  <c r="N17" i="5"/>
  <c r="M17" i="5"/>
  <c r="L17" i="5"/>
  <c r="K17" i="5"/>
  <c r="S16" i="5"/>
  <c r="R16" i="5"/>
  <c r="Q16" i="5"/>
  <c r="P16" i="5"/>
  <c r="O16" i="5"/>
  <c r="N16" i="5"/>
  <c r="M16" i="5"/>
  <c r="L16" i="5"/>
  <c r="K16" i="5"/>
  <c r="S15" i="5"/>
  <c r="R15" i="5"/>
  <c r="Q15" i="5"/>
  <c r="P15" i="5"/>
  <c r="O15" i="5"/>
  <c r="N15" i="5"/>
  <c r="M15" i="5"/>
  <c r="L15" i="5"/>
  <c r="K15" i="5"/>
  <c r="S14" i="5"/>
  <c r="R14" i="5"/>
  <c r="Q14" i="5"/>
  <c r="P14" i="5"/>
  <c r="O14" i="5"/>
  <c r="N14" i="5"/>
  <c r="M14" i="5"/>
  <c r="L14" i="5"/>
  <c r="K14" i="5"/>
  <c r="S13" i="5"/>
  <c r="R13" i="5"/>
  <c r="Q13" i="5"/>
  <c r="P13" i="5"/>
  <c r="O13" i="5"/>
  <c r="N13" i="5"/>
  <c r="M13" i="5"/>
  <c r="L13" i="5"/>
  <c r="K13" i="5"/>
  <c r="S12" i="5"/>
  <c r="R12" i="5"/>
  <c r="Q12" i="5"/>
  <c r="P12" i="5"/>
  <c r="O12" i="5"/>
  <c r="N12" i="5"/>
  <c r="M12" i="5"/>
  <c r="L12" i="5"/>
  <c r="K12" i="5"/>
  <c r="S11" i="5"/>
  <c r="R11" i="5"/>
  <c r="Q11" i="5"/>
  <c r="P11" i="5"/>
  <c r="O11" i="5"/>
  <c r="N11" i="5"/>
  <c r="M11" i="5"/>
  <c r="L11" i="5"/>
  <c r="K11" i="5"/>
  <c r="S10" i="5"/>
  <c r="R10" i="5"/>
  <c r="Q10" i="5"/>
  <c r="P10" i="5"/>
  <c r="O10" i="5"/>
  <c r="N10" i="5"/>
  <c r="M10" i="5"/>
  <c r="L10" i="5"/>
  <c r="K10" i="5"/>
  <c r="S9" i="5"/>
  <c r="R9" i="5"/>
  <c r="Q9" i="5"/>
  <c r="P9" i="5"/>
  <c r="O9" i="5"/>
  <c r="N9" i="5"/>
  <c r="M9" i="5"/>
  <c r="L9" i="5"/>
  <c r="K9" i="5"/>
  <c r="S8" i="5"/>
  <c r="R8" i="5"/>
  <c r="Q8" i="5"/>
  <c r="P8" i="5"/>
  <c r="O8" i="5"/>
  <c r="N8" i="5"/>
  <c r="M8" i="5"/>
  <c r="L8" i="5"/>
  <c r="K8" i="5"/>
  <c r="S7" i="5"/>
  <c r="R7" i="5"/>
  <c r="Q7" i="5"/>
  <c r="P7" i="5"/>
  <c r="O7" i="5"/>
  <c r="N7" i="5"/>
  <c r="M7" i="5"/>
  <c r="L7" i="5"/>
  <c r="K7" i="5"/>
  <c r="S6" i="5"/>
  <c r="R6" i="5"/>
  <c r="Q6" i="5"/>
  <c r="P6" i="5"/>
  <c r="O6" i="5"/>
  <c r="N6" i="5"/>
  <c r="M6" i="5"/>
  <c r="L6" i="5"/>
  <c r="K6" i="5"/>
  <c r="S5" i="5"/>
  <c r="R5" i="5"/>
  <c r="Q5" i="5"/>
  <c r="P5" i="5"/>
  <c r="O5" i="5"/>
  <c r="N5" i="5"/>
  <c r="M5" i="5"/>
  <c r="L5" i="5"/>
  <c r="K5" i="5"/>
  <c r="S4" i="5"/>
  <c r="R4" i="5"/>
  <c r="Q4" i="5"/>
  <c r="P4" i="5"/>
  <c r="O4" i="5"/>
  <c r="N4" i="5"/>
  <c r="M4" i="5"/>
  <c r="L4" i="5"/>
  <c r="K4" i="5"/>
  <c r="S3" i="5"/>
  <c r="R3" i="5"/>
  <c r="Q3" i="5"/>
  <c r="P3" i="5"/>
  <c r="O3" i="5"/>
  <c r="N3" i="5"/>
  <c r="M3" i="5"/>
  <c r="L3" i="5"/>
  <c r="K3" i="5"/>
  <c r="S2" i="5"/>
  <c r="R2" i="5"/>
  <c r="Q2" i="5"/>
  <c r="P2" i="5"/>
  <c r="O2" i="5"/>
  <c r="N2" i="5"/>
  <c r="M2" i="5"/>
  <c r="L2" i="5"/>
  <c r="K2" i="5"/>
</calcChain>
</file>

<file path=xl/sharedStrings.xml><?xml version="1.0" encoding="utf-8"?>
<sst xmlns="http://schemas.openxmlformats.org/spreadsheetml/2006/main" count="45" uniqueCount="37">
  <si>
    <t>instant</t>
  </si>
  <si>
    <t>dteday</t>
  </si>
  <si>
    <t>season</t>
  </si>
  <si>
    <t>yr</t>
  </si>
  <si>
    <t>mnth</t>
  </si>
  <si>
    <t>hr</t>
  </si>
  <si>
    <t>holiday</t>
  </si>
  <si>
    <t>weekday</t>
  </si>
  <si>
    <t>weathersit</t>
  </si>
  <si>
    <t>temp</t>
  </si>
  <si>
    <t>atemp</t>
  </si>
  <si>
    <t>hum</t>
  </si>
  <si>
    <t>winspeed</t>
  </si>
  <si>
    <t>casual</t>
  </si>
  <si>
    <t>registered</t>
  </si>
  <si>
    <t>cnt</t>
  </si>
  <si>
    <t>day_type</t>
  </si>
  <si>
    <t>time_slot</t>
  </si>
  <si>
    <t>demand_level</t>
  </si>
  <si>
    <t>Total Rentals</t>
  </si>
  <si>
    <t>Average Rentals</t>
  </si>
  <si>
    <t>Max Rentals</t>
  </si>
  <si>
    <t>Peak Hour</t>
  </si>
  <si>
    <t>Sum of cnt</t>
  </si>
  <si>
    <t>Grand Total</t>
  </si>
  <si>
    <t>Casual</t>
  </si>
  <si>
    <t>Sum of registered</t>
  </si>
  <si>
    <t>Forecast(cnt)</t>
  </si>
  <si>
    <t>Lower Confidence Bound(cnt)</t>
  </si>
  <si>
    <t>Upper Confidence Bound(cnt)</t>
  </si>
  <si>
    <t>Insight No</t>
  </si>
  <si>
    <t>AI-Driven Insight</t>
  </si>
  <si>
    <t>Clear weather generates maximum rentals.</t>
  </si>
  <si>
    <t>Peak rental demand occurs around 8 AM.</t>
  </si>
  <si>
    <t>Registered users contribute most rentals.</t>
  </si>
  <si>
    <t>Rental demand drops significantly during rainy weather.</t>
  </si>
  <si>
    <t>Forecast indicates stable future rental demand trends.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</si>
</sst>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u/>
      <sz val="14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1454817346722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4" fillId="0" borderId="0" xfId="0" applyFont="1"/>
    <xf numFmtId="0" fontId="1" fillId="0" borderId="0" xfId="0" applyFont="1"/>
    <xf numFmtId="0" fontId="5" fillId="0" borderId="0" xfId="0" applyFont="1"/>
    <xf numFmtId="14" fontId="5" fillId="0" borderId="0" xfId="0" applyNumberFormat="1" applyFont="1"/>
  </cellXfs>
  <cellStyles count="1">
    <cellStyle name="Normal" xfId="0" builtinId="0"/>
  </cellStyles>
  <dxfs count="3"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[Bike_Sharing_Project.xlsm]Weather Impact!PivotTable6</c:name>
    <c:fmtId val="1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617302101151201"/>
          <c:y val="0.164925210473258"/>
          <c:w val="0.64037270341207397"/>
          <c:h val="0.6895009477981920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'Weather Impact'!$B$3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'Weather Impact'!$A$4:$A$8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'Weather Impact'!$B$4:$B$8</c:f>
              <c:numCache>
                <c:formatCode>General</c:formatCode>
                <c:ptCount val="4"/>
                <c:pt idx="0">
                  <c:v>21973</c:v>
                </c:pt>
                <c:pt idx="1">
                  <c:v>10426</c:v>
                </c:pt>
                <c:pt idx="2">
                  <c:v>1463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2-4141-8982-ADE2167EA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17691872"/>
        <c:axId val="517693792"/>
      </c:barChart>
      <c:catAx>
        <c:axId val="517691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93792"/>
        <c:crosses val="autoZero"/>
        <c:auto val="1"/>
        <c:lblAlgn val="ctr"/>
        <c:lblOffset val="100"/>
        <c:noMultiLvlLbl val="0"/>
      </c:catAx>
      <c:valAx>
        <c:axId val="51769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768f6ba5-5922-433e-ba55-134f79af669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[Bike_Sharing_Project.xlsm]Hourly Demand Analysis!PivotTable7</c:name>
    <c:fmtId val="11"/>
  </c:pivotSource>
  <c:chart>
    <c:title>
      <c:layout>
        <c:manualLayout>
          <c:xMode val="edge"/>
          <c:yMode val="edge"/>
          <c:x val="0.45361111111111102"/>
          <c:y val="6.3794109069699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803149606299"/>
          <c:y val="0.193840405365996"/>
          <c:w val="0.84136307961504797"/>
          <c:h val="0.64422535724701102"/>
        </c:manualLayout>
      </c:layout>
      <c:lineChart>
        <c:grouping val="standard"/>
        <c:varyColors val="0"/>
        <c:ser>
          <c:idx val="0"/>
          <c:order val="0"/>
          <c:tx>
            <c:strRef>
              <c:f>'Hourly Demand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'Hourly Demand Analysis'!$A$4:$A$28</c:f>
              <c:strCach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'Hourly Demand Analysis'!$B$4:$B$28</c:f>
              <c:numCache>
                <c:formatCode>General</c:formatCode>
                <c:ptCount val="24"/>
                <c:pt idx="0">
                  <c:v>370</c:v>
                </c:pt>
                <c:pt idx="1">
                  <c:v>239</c:v>
                </c:pt>
                <c:pt idx="2">
                  <c:v>170</c:v>
                </c:pt>
                <c:pt idx="3">
                  <c:v>76</c:v>
                </c:pt>
                <c:pt idx="4">
                  <c:v>38</c:v>
                </c:pt>
                <c:pt idx="5">
                  <c:v>95</c:v>
                </c:pt>
                <c:pt idx="6">
                  <c:v>476</c:v>
                </c:pt>
                <c:pt idx="7">
                  <c:v>1393</c:v>
                </c:pt>
                <c:pt idx="8">
                  <c:v>3318</c:v>
                </c:pt>
                <c:pt idx="9">
                  <c:v>2196</c:v>
                </c:pt>
                <c:pt idx="10">
                  <c:v>1301</c:v>
                </c:pt>
                <c:pt idx="11">
                  <c:v>1455</c:v>
                </c:pt>
                <c:pt idx="12">
                  <c:v>1936</c:v>
                </c:pt>
                <c:pt idx="13">
                  <c:v>2015</c:v>
                </c:pt>
                <c:pt idx="14">
                  <c:v>1827</c:v>
                </c:pt>
                <c:pt idx="15">
                  <c:v>1934</c:v>
                </c:pt>
                <c:pt idx="16">
                  <c:v>2200</c:v>
                </c:pt>
                <c:pt idx="17">
                  <c:v>3550</c:v>
                </c:pt>
                <c:pt idx="18">
                  <c:v>3082</c:v>
                </c:pt>
                <c:pt idx="19">
                  <c:v>2213</c:v>
                </c:pt>
                <c:pt idx="20">
                  <c:v>1541</c:v>
                </c:pt>
                <c:pt idx="21">
                  <c:v>1075</c:v>
                </c:pt>
                <c:pt idx="22">
                  <c:v>838</c:v>
                </c:pt>
                <c:pt idx="23">
                  <c:v>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AC-49E1-96E8-11E667A64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45648"/>
        <c:axId val="479947568"/>
      </c:lineChart>
      <c:catAx>
        <c:axId val="47994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47568"/>
        <c:crosses val="autoZero"/>
        <c:auto val="1"/>
        <c:lblAlgn val="ctr"/>
        <c:lblOffset val="100"/>
        <c:noMultiLvlLbl val="0"/>
      </c:catAx>
      <c:valAx>
        <c:axId val="47994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4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22ad12dc-a421-412e-b033-8f3dc30fee9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[Bike_Sharing_Project.xlsm]Weather Impact!PivotTable6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Weather Impact</a:t>
            </a:r>
          </a:p>
        </c:rich>
      </c:tx>
      <c:layout>
        <c:manualLayout>
          <c:xMode val="edge"/>
          <c:yMode val="edge"/>
          <c:x val="0.359099795113345"/>
          <c:y val="7.86094659272884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617302101151201"/>
          <c:y val="0.164925210473258"/>
          <c:w val="0.64037270341207397"/>
          <c:h val="0.6895009477981920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'Weather Impact'!$B$3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'Weather Impact'!$A$4:$A$8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'Weather Impact'!$B$4:$B$8</c:f>
              <c:numCache>
                <c:formatCode>General</c:formatCode>
                <c:ptCount val="4"/>
                <c:pt idx="0">
                  <c:v>21973</c:v>
                </c:pt>
                <c:pt idx="1">
                  <c:v>10426</c:v>
                </c:pt>
                <c:pt idx="2">
                  <c:v>1463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5-432D-B5CE-707C54022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517691872"/>
        <c:axId val="517693792"/>
      </c:barChart>
      <c:catAx>
        <c:axId val="517691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93792"/>
        <c:crosses val="autoZero"/>
        <c:auto val="1"/>
        <c:lblAlgn val="ctr"/>
        <c:lblOffset val="100"/>
        <c:noMultiLvlLbl val="0"/>
      </c:catAx>
      <c:valAx>
        <c:axId val="51769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29866cd1-25da-4856-9b15-c353508d8850}"/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[Bike_Sharing_Project.xlsm]Hourly Demand Analysis!PivotTable7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Hourly Demand Analysis</a:t>
            </a:r>
          </a:p>
        </c:rich>
      </c:tx>
      <c:layout>
        <c:manualLayout>
          <c:xMode val="edge"/>
          <c:yMode val="edge"/>
          <c:x val="0.31932546246896198"/>
          <c:y val="6.379428092556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803149606299"/>
          <c:y val="0.193840405365996"/>
          <c:w val="0.84136307961504797"/>
          <c:h val="0.64422535724701102"/>
        </c:manualLayout>
      </c:layout>
      <c:lineChart>
        <c:grouping val="standard"/>
        <c:varyColors val="0"/>
        <c:ser>
          <c:idx val="0"/>
          <c:order val="0"/>
          <c:tx>
            <c:strRef>
              <c:f>'Hourly Demand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'Hourly Demand Analysis'!$A$4:$A$28</c:f>
              <c:strCach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'Hourly Demand Analysis'!$B$4:$B$28</c:f>
              <c:numCache>
                <c:formatCode>General</c:formatCode>
                <c:ptCount val="24"/>
                <c:pt idx="0">
                  <c:v>370</c:v>
                </c:pt>
                <c:pt idx="1">
                  <c:v>239</c:v>
                </c:pt>
                <c:pt idx="2">
                  <c:v>170</c:v>
                </c:pt>
                <c:pt idx="3">
                  <c:v>76</c:v>
                </c:pt>
                <c:pt idx="4">
                  <c:v>38</c:v>
                </c:pt>
                <c:pt idx="5">
                  <c:v>95</c:v>
                </c:pt>
                <c:pt idx="6">
                  <c:v>476</c:v>
                </c:pt>
                <c:pt idx="7">
                  <c:v>1393</c:v>
                </c:pt>
                <c:pt idx="8">
                  <c:v>3318</c:v>
                </c:pt>
                <c:pt idx="9">
                  <c:v>2196</c:v>
                </c:pt>
                <c:pt idx="10">
                  <c:v>1301</c:v>
                </c:pt>
                <c:pt idx="11">
                  <c:v>1455</c:v>
                </c:pt>
                <c:pt idx="12">
                  <c:v>1936</c:v>
                </c:pt>
                <c:pt idx="13">
                  <c:v>2015</c:v>
                </c:pt>
                <c:pt idx="14">
                  <c:v>1827</c:v>
                </c:pt>
                <c:pt idx="15">
                  <c:v>1934</c:v>
                </c:pt>
                <c:pt idx="16">
                  <c:v>2200</c:v>
                </c:pt>
                <c:pt idx="17">
                  <c:v>3550</c:v>
                </c:pt>
                <c:pt idx="18">
                  <c:v>3082</c:v>
                </c:pt>
                <c:pt idx="19">
                  <c:v>2213</c:v>
                </c:pt>
                <c:pt idx="20">
                  <c:v>1541</c:v>
                </c:pt>
                <c:pt idx="21">
                  <c:v>1075</c:v>
                </c:pt>
                <c:pt idx="22">
                  <c:v>838</c:v>
                </c:pt>
                <c:pt idx="23">
                  <c:v>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4-4EBA-8096-785A5FF340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79945648"/>
        <c:axId val="479947568"/>
      </c:lineChart>
      <c:catAx>
        <c:axId val="47994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47568"/>
        <c:crosses val="autoZero"/>
        <c:auto val="1"/>
        <c:lblAlgn val="ctr"/>
        <c:lblOffset val="100"/>
        <c:noMultiLvlLbl val="0"/>
      </c:catAx>
      <c:valAx>
        <c:axId val="47994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4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63c4ea18-7349-4b64-883b-a4dfcf1e4d2b}"/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[Bike_Sharing_Project.xlsm]User Type Distribution!PivotTable10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'User Type Distribution'!$B$3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277-4AF5-A9BC-383B393C01E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277-4AF5-A9BC-383B393C01E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277-4AF5-A9BC-383B393C01E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277-4AF5-A9BC-383B393C01E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277-4AF5-A9BC-383B393C01E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277-4AF5-A9BC-383B393C01E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277-4AF5-A9BC-383B393C01E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277-4AF5-A9BC-383B393C01E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277-4AF5-A9BC-383B393C01E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2277-4AF5-A9BC-383B393C01E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2277-4AF5-A9BC-383B393C01E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2277-4AF5-A9BC-383B393C01E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2277-4AF5-A9BC-383B393C01E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2277-4AF5-A9BC-383B393C01E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2277-4AF5-A9BC-383B393C01E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2277-4AF5-A9BC-383B393C01E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2277-4AF5-A9BC-383B393C01E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2277-4AF5-A9BC-383B393C01E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2277-4AF5-A9BC-383B393C01E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2277-4AF5-A9BC-383B393C01E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2277-4AF5-A9BC-383B393C01EF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2277-4AF5-A9BC-383B393C01EF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2277-4AF5-A9BC-383B393C01EF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2277-4AF5-A9BC-383B393C01EF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2277-4AF5-A9BC-383B393C01EF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2277-4AF5-A9BC-383B393C01EF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2277-4AF5-A9BC-383B393C01EF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2277-4AF5-A9BC-383B393C01EF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2277-4AF5-A9BC-383B393C01EF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2277-4AF5-A9BC-383B393C01EF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2277-4AF5-A9BC-383B393C01EF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2277-4AF5-A9BC-383B393C01EF}"/>
              </c:ext>
            </c:extLst>
          </c:dPt>
          <c:cat>
            <c:strRef>
              <c:f>'User Type Distribution'!$A$4:$A$36</c:f>
              <c:strCach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26</c:v>
                </c:pt>
                <c:pt idx="26">
                  <c:v>29</c:v>
                </c:pt>
                <c:pt idx="27">
                  <c:v>33</c:v>
                </c:pt>
                <c:pt idx="28">
                  <c:v>35</c:v>
                </c:pt>
                <c:pt idx="29">
                  <c:v>40</c:v>
                </c:pt>
                <c:pt idx="30">
                  <c:v>41</c:v>
                </c:pt>
                <c:pt idx="31">
                  <c:v>47</c:v>
                </c:pt>
              </c:strCache>
            </c:strRef>
          </c:cat>
          <c:val>
            <c:numRef>
              <c:f>'User Type Distribution'!$B$4:$B$36</c:f>
              <c:numCache>
                <c:formatCode>General</c:formatCode>
                <c:ptCount val="32"/>
                <c:pt idx="0">
                  <c:v>3128</c:v>
                </c:pt>
                <c:pt idx="1">
                  <c:v>3345</c:v>
                </c:pt>
                <c:pt idx="2">
                  <c:v>3301</c:v>
                </c:pt>
                <c:pt idx="3">
                  <c:v>3679</c:v>
                </c:pt>
                <c:pt idx="4">
                  <c:v>2505</c:v>
                </c:pt>
                <c:pt idx="5">
                  <c:v>2469</c:v>
                </c:pt>
                <c:pt idx="6">
                  <c:v>2125</c:v>
                </c:pt>
                <c:pt idx="7">
                  <c:v>1898</c:v>
                </c:pt>
                <c:pt idx="8">
                  <c:v>1302</c:v>
                </c:pt>
                <c:pt idx="9">
                  <c:v>1181</c:v>
                </c:pt>
                <c:pt idx="10">
                  <c:v>940</c:v>
                </c:pt>
                <c:pt idx="11">
                  <c:v>865</c:v>
                </c:pt>
                <c:pt idx="12">
                  <c:v>643</c:v>
                </c:pt>
                <c:pt idx="13">
                  <c:v>404</c:v>
                </c:pt>
                <c:pt idx="14">
                  <c:v>475</c:v>
                </c:pt>
                <c:pt idx="15">
                  <c:v>287</c:v>
                </c:pt>
                <c:pt idx="16">
                  <c:v>204</c:v>
                </c:pt>
                <c:pt idx="17">
                  <c:v>141</c:v>
                </c:pt>
                <c:pt idx="18">
                  <c:v>133</c:v>
                </c:pt>
                <c:pt idx="19">
                  <c:v>103</c:v>
                </c:pt>
                <c:pt idx="20">
                  <c:v>263</c:v>
                </c:pt>
                <c:pt idx="21">
                  <c:v>480</c:v>
                </c:pt>
                <c:pt idx="22">
                  <c:v>223</c:v>
                </c:pt>
                <c:pt idx="23">
                  <c:v>247</c:v>
                </c:pt>
                <c:pt idx="24">
                  <c:v>92</c:v>
                </c:pt>
                <c:pt idx="25">
                  <c:v>122</c:v>
                </c:pt>
                <c:pt idx="26">
                  <c:v>184</c:v>
                </c:pt>
                <c:pt idx="27">
                  <c:v>95</c:v>
                </c:pt>
                <c:pt idx="28">
                  <c:v>149</c:v>
                </c:pt>
                <c:pt idx="29">
                  <c:v>70</c:v>
                </c:pt>
                <c:pt idx="30">
                  <c:v>52</c:v>
                </c:pt>
                <c:pt idx="31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2277-4AF5-A9BC-383B393C0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b99dd84e-6fc0-47ee-90e3-81984bac21d1}"/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'Forecast Sheet'!$B$1</c:f>
              <c:strCache>
                <c:ptCount val="1"/>
                <c:pt idx="0">
                  <c:v>cnt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 Sheet'!$B$2:$B$71</c:f>
              <c:numCache>
                <c:formatCode>General</c:formatCode>
                <c:ptCount val="70"/>
                <c:pt idx="0">
                  <c:v>41.0416666666667</c:v>
                </c:pt>
                <c:pt idx="1">
                  <c:v>34.826086956521699</c:v>
                </c:pt>
                <c:pt idx="2">
                  <c:v>61.318181818181799</c:v>
                </c:pt>
                <c:pt idx="3">
                  <c:v>67.913043478260903</c:v>
                </c:pt>
                <c:pt idx="4">
                  <c:v>69.565217391304301</c:v>
                </c:pt>
                <c:pt idx="5">
                  <c:v>69.826086956521706</c:v>
                </c:pt>
                <c:pt idx="6">
                  <c:v>65.652173913043498</c:v>
                </c:pt>
                <c:pt idx="7">
                  <c:v>39.9583333333333</c:v>
                </c:pt>
                <c:pt idx="8">
                  <c:v>34.25</c:v>
                </c:pt>
                <c:pt idx="9">
                  <c:v>55.0416666666667</c:v>
                </c:pt>
                <c:pt idx="10">
                  <c:v>57.409090909090899</c:v>
                </c:pt>
                <c:pt idx="11">
                  <c:v>52.818181818181799</c:v>
                </c:pt>
                <c:pt idx="12">
                  <c:v>58.5833333333333</c:v>
                </c:pt>
                <c:pt idx="13">
                  <c:v>61.7826086956522</c:v>
                </c:pt>
                <c:pt idx="14">
                  <c:v>52</c:v>
                </c:pt>
                <c:pt idx="15">
                  <c:v>50.1666666666667</c:v>
                </c:pt>
                <c:pt idx="16">
                  <c:v>41.6666666666667</c:v>
                </c:pt>
                <c:pt idx="17">
                  <c:v>56.9166666666667</c:v>
                </c:pt>
                <c:pt idx="18">
                  <c:v>71.739130434782595</c:v>
                </c:pt>
                <c:pt idx="19">
                  <c:v>80.2916666666667</c:v>
                </c:pt>
                <c:pt idx="20">
                  <c:v>64.2916666666667</c:v>
                </c:pt>
                <c:pt idx="21">
                  <c:v>42.652173913043498</c:v>
                </c:pt>
                <c:pt idx="22">
                  <c:v>42.869565217391298</c:v>
                </c:pt>
                <c:pt idx="23">
                  <c:v>61.565217391304401</c:v>
                </c:pt>
                <c:pt idx="24">
                  <c:v>86.304347826086996</c:v>
                </c:pt>
                <c:pt idx="25">
                  <c:v>31.625</c:v>
                </c:pt>
                <c:pt idx="26">
                  <c:v>53.875</c:v>
                </c:pt>
                <c:pt idx="27">
                  <c:v>38.066666666666698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53-4212-AC59-593DB71C164D}"/>
            </c:ext>
          </c:extLst>
        </c:ser>
        <c:ser>
          <c:idx val="1"/>
          <c:order val="1"/>
          <c:tx>
            <c:strRef>
              <c:f>'Forecast Sheet'!$C$1</c:f>
              <c:strCache>
                <c:ptCount val="1"/>
                <c:pt idx="0">
                  <c:v>Forecast(cnt)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Sheet'!$A$2:$A$71</c:f>
              <c:numCache>
                <c:formatCode>m/d/yyyy</c:formatCode>
                <c:ptCount val="70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</c:numCache>
            </c:numRef>
          </c:cat>
          <c:val>
            <c:numRef>
              <c:f>'Forecast Sheet'!$C$2:$C$71</c:f>
              <c:numCache>
                <c:formatCode>General</c:formatCode>
                <c:ptCount val="70"/>
                <c:pt idx="27">
                  <c:v>38.066666666666698</c:v>
                </c:pt>
                <c:pt idx="28">
                  <c:v>40.024790724090103</c:v>
                </c:pt>
                <c:pt idx="29">
                  <c:v>35.874001603077801</c:v>
                </c:pt>
                <c:pt idx="30">
                  <c:v>52.697995185828802</c:v>
                </c:pt>
                <c:pt idx="31">
                  <c:v>56.5487985213773</c:v>
                </c:pt>
                <c:pt idx="32">
                  <c:v>54.010119527889799</c:v>
                </c:pt>
                <c:pt idx="33">
                  <c:v>57.339428082721298</c:v>
                </c:pt>
                <c:pt idx="34">
                  <c:v>56.006038105996701</c:v>
                </c:pt>
                <c:pt idx="35">
                  <c:v>38.785363455111103</c:v>
                </c:pt>
                <c:pt idx="36">
                  <c:v>34.634574334098801</c:v>
                </c:pt>
                <c:pt idx="37">
                  <c:v>51.458567916849702</c:v>
                </c:pt>
                <c:pt idx="38">
                  <c:v>55.3093712523983</c:v>
                </c:pt>
                <c:pt idx="39">
                  <c:v>52.770692258910699</c:v>
                </c:pt>
                <c:pt idx="40">
                  <c:v>56.100000813742199</c:v>
                </c:pt>
                <c:pt idx="41">
                  <c:v>54.766610837017602</c:v>
                </c:pt>
                <c:pt idx="42">
                  <c:v>37.545936186132003</c:v>
                </c:pt>
                <c:pt idx="43">
                  <c:v>33.395147065119701</c:v>
                </c:pt>
                <c:pt idx="44">
                  <c:v>50.219140647870702</c:v>
                </c:pt>
                <c:pt idx="45">
                  <c:v>54.069943983419201</c:v>
                </c:pt>
                <c:pt idx="46">
                  <c:v>51.5312649899316</c:v>
                </c:pt>
                <c:pt idx="47">
                  <c:v>54.860573544763099</c:v>
                </c:pt>
                <c:pt idx="48">
                  <c:v>53.527183568038502</c:v>
                </c:pt>
                <c:pt idx="49">
                  <c:v>36.306508917152897</c:v>
                </c:pt>
                <c:pt idx="50">
                  <c:v>32.155719796140602</c:v>
                </c:pt>
                <c:pt idx="51">
                  <c:v>48.979713378891603</c:v>
                </c:pt>
                <c:pt idx="52">
                  <c:v>52.830516714440101</c:v>
                </c:pt>
                <c:pt idx="53">
                  <c:v>50.2918377209525</c:v>
                </c:pt>
                <c:pt idx="54">
                  <c:v>53.621146275784</c:v>
                </c:pt>
                <c:pt idx="55">
                  <c:v>52.287756299059502</c:v>
                </c:pt>
                <c:pt idx="56">
                  <c:v>35.067081648173797</c:v>
                </c:pt>
                <c:pt idx="57">
                  <c:v>30.916292527161499</c:v>
                </c:pt>
                <c:pt idx="58">
                  <c:v>47.740286109912503</c:v>
                </c:pt>
                <c:pt idx="59">
                  <c:v>51.591089445461002</c:v>
                </c:pt>
                <c:pt idx="60">
                  <c:v>49.052410451973401</c:v>
                </c:pt>
                <c:pt idx="61">
                  <c:v>52.381719006805</c:v>
                </c:pt>
                <c:pt idx="62">
                  <c:v>51.048329030080403</c:v>
                </c:pt>
                <c:pt idx="63">
                  <c:v>33.827654379194698</c:v>
                </c:pt>
                <c:pt idx="64">
                  <c:v>29.676865258182399</c:v>
                </c:pt>
                <c:pt idx="65">
                  <c:v>46.500858840933397</c:v>
                </c:pt>
                <c:pt idx="66">
                  <c:v>50.351662176481902</c:v>
                </c:pt>
                <c:pt idx="67">
                  <c:v>47.812983182994401</c:v>
                </c:pt>
                <c:pt idx="68">
                  <c:v>51.1422917378259</c:v>
                </c:pt>
                <c:pt idx="69">
                  <c:v>49.808901761101303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53-4212-AC59-593DB71C164D}"/>
            </c:ext>
          </c:extLst>
        </c:ser>
        <c:ser>
          <c:idx val="2"/>
          <c:order val="2"/>
          <c:tx>
            <c:strRef>
              <c:f>'Forecast Sheet'!$D$1</c:f>
              <c:strCache>
                <c:ptCount val="1"/>
                <c:pt idx="0">
                  <c:v>Lower Confidence Bound(cnt)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 Sheet'!$A$2:$A$71</c:f>
              <c:numCache>
                <c:formatCode>m/d/yyyy</c:formatCode>
                <c:ptCount val="70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</c:numCache>
            </c:numRef>
          </c:cat>
          <c:val>
            <c:numRef>
              <c:f>'Forecast Sheet'!$D$2:$D$71</c:f>
              <c:numCache>
                <c:formatCode>General</c:formatCode>
                <c:ptCount val="70"/>
                <c:pt idx="27" formatCode="0.00">
                  <c:v>38.066666666666698</c:v>
                </c:pt>
                <c:pt idx="28" formatCode="0.00">
                  <c:v>17.444044283269601</c:v>
                </c:pt>
                <c:pt idx="29" formatCode="0.00">
                  <c:v>13.1118811525136</c:v>
                </c:pt>
                <c:pt idx="30" formatCode="0.00">
                  <c:v>29.7531010486714</c:v>
                </c:pt>
                <c:pt idx="31" formatCode="0.00">
                  <c:v>33.419742157510001</c:v>
                </c:pt>
                <c:pt idx="32" formatCode="0.00">
                  <c:v>30.695523431474399</c:v>
                </c:pt>
                <c:pt idx="33" formatCode="0.00">
                  <c:v>33.8379256772646</c:v>
                </c:pt>
                <c:pt idx="34" formatCode="0.00">
                  <c:v>32.3162736371956</c:v>
                </c:pt>
                <c:pt idx="35" formatCode="0.00">
                  <c:v>14.9031414605126</c:v>
                </c:pt>
                <c:pt idx="36" formatCode="0.00">
                  <c:v>10.561433404604401</c:v>
                </c:pt>
                <c:pt idx="37" formatCode="0.00">
                  <c:v>27.193183900460301</c:v>
                </c:pt>
                <c:pt idx="38" formatCode="0.00">
                  <c:v>30.850430373158101</c:v>
                </c:pt>
                <c:pt idx="39" formatCode="0.00">
                  <c:v>28.1168910021985</c:v>
                </c:pt>
                <c:pt idx="40" formatCode="0.00">
                  <c:v>31.250045810624702</c:v>
                </c:pt>
                <c:pt idx="41" formatCode="0.00">
                  <c:v>29.719218747842302</c:v>
                </c:pt>
                <c:pt idx="42" formatCode="0.00">
                  <c:v>12.2969960946686</c:v>
                </c:pt>
                <c:pt idx="43" formatCode="0.00">
                  <c:v>7.9462551242957602</c:v>
                </c:pt>
                <c:pt idx="44" formatCode="0.00">
                  <c:v>24.569042691132999</c:v>
                </c:pt>
                <c:pt idx="45" formatCode="0.00">
                  <c:v>28.217395404100401</c:v>
                </c:pt>
                <c:pt idx="46" formatCode="0.00">
                  <c:v>25.475030623405001</c:v>
                </c:pt>
                <c:pt idx="47" formatCode="0.00">
                  <c:v>28.5994275506823</c:v>
                </c:pt>
                <c:pt idx="48" formatCode="0.00">
                  <c:v>27.059909312772898</c:v>
                </c:pt>
                <c:pt idx="49" formatCode="0.00">
                  <c:v>9.6290795157085807</c:v>
                </c:pt>
                <c:pt idx="50" formatCode="0.00">
                  <c:v>5.2697778852711599</c:v>
                </c:pt>
                <c:pt idx="51" formatCode="0.00">
                  <c:v>21.8840690285008</c:v>
                </c:pt>
                <c:pt idx="52" formatCode="0.00">
                  <c:v>25.523988736062499</c:v>
                </c:pt>
                <c:pt idx="53" formatCode="0.00">
                  <c:v>22.773253552648601</c:v>
                </c:pt>
                <c:pt idx="54" formatCode="0.00">
                  <c:v>25.889341867750701</c:v>
                </c:pt>
                <c:pt idx="55" formatCode="0.00">
                  <c:v>24.341576000022201</c:v>
                </c:pt>
                <c:pt idx="56" formatCode="0.00">
                  <c:v>6.9025808857808002</c:v>
                </c:pt>
                <c:pt idx="57" formatCode="0.00">
                  <c:v>2.5351506705804998</c:v>
                </c:pt>
                <c:pt idx="58" formatCode="0.00">
                  <c:v>19.1413718159036</c:v>
                </c:pt>
                <c:pt idx="59" formatCode="0.00">
                  <c:v>22.773279325447799</c:v>
                </c:pt>
                <c:pt idx="60" formatCode="0.00">
                  <c:v>20.014588963184099</c:v>
                </c:pt>
                <c:pt idx="61" formatCode="0.00">
                  <c:v>23.122778344483098</c:v>
                </c:pt>
                <c:pt idx="62" formatCode="0.00">
                  <c:v>21.5671690208002</c:v>
                </c:pt>
                <c:pt idx="63" formatCode="0.00">
                  <c:v>4.1204102873066404</c:v>
                </c:pt>
                <c:pt idx="64" formatCode="0.00">
                  <c:v>-0.25475527224087802</c:v>
                </c:pt>
                <c:pt idx="65" formatCode="0.00">
                  <c:v>16.343783752238402</c:v>
                </c:pt>
                <c:pt idx="66" formatCode="0.00">
                  <c:v>19.968061627846598</c:v>
                </c:pt>
                <c:pt idx="67" formatCode="0.00">
                  <c:v>17.201793390060701</c:v>
                </c:pt>
                <c:pt idx="68" formatCode="0.00">
                  <c:v>20.302455934026</c:v>
                </c:pt>
                <c:pt idx="69" formatCode="0.00">
                  <c:v>18.7393700993875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53-4212-AC59-593DB71C164D}"/>
            </c:ext>
          </c:extLst>
        </c:ser>
        <c:ser>
          <c:idx val="3"/>
          <c:order val="3"/>
          <c:tx>
            <c:strRef>
              <c:f>'Forecast Sheet'!$E$1</c:f>
              <c:strCache>
                <c:ptCount val="1"/>
                <c:pt idx="0">
                  <c:v>Upper Confidence Bound(cnt)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 Sheet'!$A$2:$A$71</c:f>
              <c:numCache>
                <c:formatCode>m/d/yyyy</c:formatCode>
                <c:ptCount val="70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</c:numCache>
            </c:numRef>
          </c:cat>
          <c:val>
            <c:numRef>
              <c:f>'Forecast Sheet'!$E$2:$E$71</c:f>
              <c:numCache>
                <c:formatCode>General</c:formatCode>
                <c:ptCount val="70"/>
                <c:pt idx="27" formatCode="0.00">
                  <c:v>38.066666666666698</c:v>
                </c:pt>
                <c:pt idx="28" formatCode="0.00">
                  <c:v>62.6055371649107</c:v>
                </c:pt>
                <c:pt idx="29" formatCode="0.00">
                  <c:v>58.636122053641998</c:v>
                </c:pt>
                <c:pt idx="30" formatCode="0.00">
                  <c:v>75.642889322986207</c:v>
                </c:pt>
                <c:pt idx="31" formatCode="0.00">
                  <c:v>79.677854885244599</c:v>
                </c:pt>
                <c:pt idx="32" formatCode="0.00">
                  <c:v>77.324715624305099</c:v>
                </c:pt>
                <c:pt idx="33" formatCode="0.00">
                  <c:v>80.840930488178003</c:v>
                </c:pt>
                <c:pt idx="34" formatCode="0.00">
                  <c:v>79.695802574797796</c:v>
                </c:pt>
                <c:pt idx="35" formatCode="0.00">
                  <c:v>62.667585449709499</c:v>
                </c:pt>
                <c:pt idx="36" formatCode="0.00">
                  <c:v>58.707715263593101</c:v>
                </c:pt>
                <c:pt idx="37" formatCode="0.00">
                  <c:v>75.723951933239206</c:v>
                </c:pt>
                <c:pt idx="38" formatCode="0.00">
                  <c:v>79.768312131638396</c:v>
                </c:pt>
                <c:pt idx="39" formatCode="0.00">
                  <c:v>77.424493515622899</c:v>
                </c:pt>
                <c:pt idx="40" formatCode="0.00">
                  <c:v>80.949955816859699</c:v>
                </c:pt>
                <c:pt idx="41" formatCode="0.00">
                  <c:v>79.814002926192998</c:v>
                </c:pt>
                <c:pt idx="42" formatCode="0.00">
                  <c:v>62.794876277595399</c:v>
                </c:pt>
                <c:pt idx="43" formatCode="0.00">
                  <c:v>58.8440390059436</c:v>
                </c:pt>
                <c:pt idx="44" formatCode="0.00">
                  <c:v>75.869238604608299</c:v>
                </c:pt>
                <c:pt idx="45" formatCode="0.00">
                  <c:v>79.922492562738</c:v>
                </c:pt>
                <c:pt idx="46" formatCode="0.00">
                  <c:v>77.587499356458196</c:v>
                </c:pt>
                <c:pt idx="47" formatCode="0.00">
                  <c:v>81.121719538843905</c:v>
                </c:pt>
                <c:pt idx="48" formatCode="0.00">
                  <c:v>79.994457823304202</c:v>
                </c:pt>
                <c:pt idx="49" formatCode="0.00">
                  <c:v>62.983938318597197</c:v>
                </c:pt>
                <c:pt idx="50" formatCode="0.00">
                  <c:v>59.04166170701</c:v>
                </c:pt>
                <c:pt idx="51" formatCode="0.00">
                  <c:v>76.075357729282302</c:v>
                </c:pt>
                <c:pt idx="52" formatCode="0.00">
                  <c:v>80.137044692817597</c:v>
                </c:pt>
                <c:pt idx="53" formatCode="0.00">
                  <c:v>77.810421889256403</c:v>
                </c:pt>
                <c:pt idx="54" formatCode="0.00">
                  <c:v>81.352950683817397</c:v>
                </c:pt>
                <c:pt idx="55" formatCode="0.00">
                  <c:v>80.233936598096804</c:v>
                </c:pt>
                <c:pt idx="56" formatCode="0.00">
                  <c:v>63.231582410566801</c:v>
                </c:pt>
                <c:pt idx="57" formatCode="0.00">
                  <c:v>59.297434383742498</c:v>
                </c:pt>
                <c:pt idx="58" formatCode="0.00">
                  <c:v>76.339200403921396</c:v>
                </c:pt>
                <c:pt idx="59" formatCode="0.00">
                  <c:v>80.408899565474201</c:v>
                </c:pt>
                <c:pt idx="60" formatCode="0.00">
                  <c:v>78.090231940762806</c:v>
                </c:pt>
                <c:pt idx="61" formatCode="0.00">
                  <c:v>81.640659669126805</c:v>
                </c:pt>
                <c:pt idx="62" formatCode="0.00">
                  <c:v>80.529489039360598</c:v>
                </c:pt>
                <c:pt idx="63" formatCode="0.00">
                  <c:v>63.534898471082798</c:v>
                </c:pt>
                <c:pt idx="64" formatCode="0.00">
                  <c:v>59.608485788605698</c:v>
                </c:pt>
                <c:pt idx="65" formatCode="0.00">
                  <c:v>76.657933929628399</c:v>
                </c:pt>
                <c:pt idx="66" formatCode="0.00">
                  <c:v>80.735262725117195</c:v>
                </c:pt>
                <c:pt idx="67" formatCode="0.00">
                  <c:v>78.424172975928002</c:v>
                </c:pt>
                <c:pt idx="68" formatCode="0.00">
                  <c:v>81.982127541625701</c:v>
                </c:pt>
                <c:pt idx="69" formatCode="0.00">
                  <c:v>80.878433422815107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53-4212-AC59-593DB71C1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9494847"/>
        <c:axId val="786451983"/>
      </c:lineChart>
      <c:catAx>
        <c:axId val="1909494847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451983"/>
        <c:crosses val="autoZero"/>
        <c:auto val="1"/>
        <c:lblAlgn val="ctr"/>
        <c:lblOffset val="100"/>
        <c:noMultiLvlLbl val="1"/>
      </c:catAx>
      <c:valAx>
        <c:axId val="78645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494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6554883a-d349-4121-a0f5-3638936a12ab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2078</xdr:rowOff>
    </xdr:from>
    <xdr:to>
      <xdr:col>4</xdr:col>
      <xdr:colOff>228600</xdr:colOff>
      <xdr:row>16</xdr:row>
      <xdr:rowOff>11546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46181</xdr:colOff>
      <xdr:row>4</xdr:row>
      <xdr:rowOff>11545</xdr:rowOff>
    </xdr:from>
    <xdr:to>
      <xdr:col>13</xdr:col>
      <xdr:colOff>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23091</xdr:colOff>
      <xdr:row>18</xdr:row>
      <xdr:rowOff>11545</xdr:rowOff>
    </xdr:from>
    <xdr:to>
      <xdr:col>7</xdr:col>
      <xdr:colOff>420255</xdr:colOff>
      <xdr:row>31</xdr:row>
      <xdr:rowOff>77066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weathersit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eathersit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21580" y="3404235"/>
              <a:ext cx="1837055" cy="24428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46181</xdr:colOff>
      <xdr:row>18</xdr:row>
      <xdr:rowOff>34637</xdr:rowOff>
    </xdr:from>
    <xdr:to>
      <xdr:col>1</xdr:col>
      <xdr:colOff>766617</xdr:colOff>
      <xdr:row>31</xdr:row>
      <xdr:rowOff>100158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nth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nth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20" y="3427095"/>
              <a:ext cx="1825625" cy="24428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34638</xdr:colOff>
      <xdr:row>18</xdr:row>
      <xdr:rowOff>23091</xdr:rowOff>
    </xdr:from>
    <xdr:to>
      <xdr:col>4</xdr:col>
      <xdr:colOff>27710</xdr:colOff>
      <xdr:row>31</xdr:row>
      <xdr:rowOff>88612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ason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ason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1230" y="3415665"/>
              <a:ext cx="1829435" cy="24428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27</xdr:row>
          <xdr:rowOff>60960</xdr:rowOff>
        </xdr:from>
        <xdr:to>
          <xdr:col>10</xdr:col>
          <xdr:colOff>312420</xdr:colOff>
          <xdr:row>31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1" u="sng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Refresh_Report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265084</xdr:colOff>
      <xdr:row>22</xdr:row>
      <xdr:rowOff>31635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9407</xdr:colOff>
      <xdr:row>2</xdr:row>
      <xdr:rowOff>1</xdr:rowOff>
    </xdr:from>
    <xdr:to>
      <xdr:col>10</xdr:col>
      <xdr:colOff>174038</xdr:colOff>
      <xdr:row>14</xdr:row>
      <xdr:rowOff>60294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324554</xdr:colOff>
      <xdr:row>10</xdr:row>
      <xdr:rowOff>147356</xdr:rowOff>
    </xdr:from>
    <xdr:to>
      <xdr:col>9</xdr:col>
      <xdr:colOff>594727</xdr:colOff>
      <xdr:row>26</xdr:row>
      <xdr:rowOff>40478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367518</xdr:colOff>
      <xdr:row>1</xdr:row>
      <xdr:rowOff>80010</xdr:rowOff>
    </xdr:from>
    <xdr:to>
      <xdr:col>18</xdr:col>
      <xdr:colOff>293077</xdr:colOff>
      <xdr:row>25</xdr:row>
      <xdr:rowOff>117231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set_2"/>
      <sheetName val="Sheet2"/>
    </sheetNames>
    <sheetDataSet>
      <sheetData sheetId="0">
        <row r="1">
          <cell r="B1" t="str">
            <v>instant</v>
          </cell>
          <cell r="C1" t="str">
            <v>atemp</v>
          </cell>
          <cell r="D1" t="str">
            <v>hum</v>
          </cell>
          <cell r="E1" t="str">
            <v>windspeed</v>
          </cell>
          <cell r="F1" t="str">
            <v>casual</v>
          </cell>
          <cell r="G1" t="str">
            <v>registered</v>
          </cell>
          <cell r="H1" t="str">
            <v>cnt</v>
          </cell>
        </row>
        <row r="2">
          <cell r="B2">
            <v>1</v>
          </cell>
          <cell r="C2">
            <v>0.28789999999999999</v>
          </cell>
          <cell r="D2">
            <v>0.81</v>
          </cell>
          <cell r="E2">
            <v>0</v>
          </cell>
          <cell r="F2">
            <v>3</v>
          </cell>
          <cell r="G2">
            <v>13</v>
          </cell>
          <cell r="H2">
            <v>16</v>
          </cell>
        </row>
        <row r="3">
          <cell r="B3">
            <v>2</v>
          </cell>
          <cell r="C3">
            <v>0.2727</v>
          </cell>
          <cell r="D3">
            <v>0.8</v>
          </cell>
          <cell r="E3">
            <v>0</v>
          </cell>
          <cell r="F3">
            <v>8</v>
          </cell>
          <cell r="G3">
            <v>32</v>
          </cell>
          <cell r="H3">
            <v>40</v>
          </cell>
        </row>
        <row r="4">
          <cell r="B4">
            <v>3</v>
          </cell>
          <cell r="C4">
            <v>0.2727</v>
          </cell>
          <cell r="D4">
            <v>0.8</v>
          </cell>
          <cell r="E4">
            <v>0</v>
          </cell>
          <cell r="F4">
            <v>5</v>
          </cell>
          <cell r="G4">
            <v>27</v>
          </cell>
          <cell r="H4">
            <v>32</v>
          </cell>
        </row>
        <row r="5">
          <cell r="B5">
            <v>4</v>
          </cell>
          <cell r="C5">
            <v>0.28789999999999999</v>
          </cell>
          <cell r="D5">
            <v>0.75</v>
          </cell>
          <cell r="E5">
            <v>0</v>
          </cell>
          <cell r="F5">
            <v>3</v>
          </cell>
          <cell r="G5">
            <v>10</v>
          </cell>
          <cell r="H5">
            <v>13</v>
          </cell>
        </row>
        <row r="6">
          <cell r="B6">
            <v>5</v>
          </cell>
          <cell r="C6">
            <v>0.28789999999999999</v>
          </cell>
          <cell r="D6">
            <v>0.75</v>
          </cell>
          <cell r="E6">
            <v>0</v>
          </cell>
          <cell r="F6">
            <v>0</v>
          </cell>
          <cell r="G6">
            <v>1</v>
          </cell>
          <cell r="H6">
            <v>1</v>
          </cell>
        </row>
        <row r="7">
          <cell r="B7">
            <v>6</v>
          </cell>
          <cell r="C7">
            <v>0.2576</v>
          </cell>
          <cell r="D7">
            <v>0.75</v>
          </cell>
          <cell r="E7">
            <v>8.9599999999999999E-2</v>
          </cell>
          <cell r="F7">
            <v>0</v>
          </cell>
          <cell r="G7">
            <v>1</v>
          </cell>
          <cell r="H7">
            <v>1</v>
          </cell>
        </row>
        <row r="8">
          <cell r="B8">
            <v>7</v>
          </cell>
          <cell r="C8">
            <v>0.2727</v>
          </cell>
          <cell r="D8">
            <v>0.8</v>
          </cell>
          <cell r="E8">
            <v>0</v>
          </cell>
          <cell r="F8">
            <v>2</v>
          </cell>
          <cell r="G8">
            <v>0</v>
          </cell>
          <cell r="H8">
            <v>2</v>
          </cell>
        </row>
        <row r="9">
          <cell r="B9">
            <v>8</v>
          </cell>
          <cell r="C9">
            <v>0.2576</v>
          </cell>
          <cell r="D9">
            <v>0.86</v>
          </cell>
          <cell r="E9">
            <v>0</v>
          </cell>
          <cell r="F9">
            <v>1</v>
          </cell>
          <cell r="G9">
            <v>2</v>
          </cell>
          <cell r="H9">
            <v>3</v>
          </cell>
        </row>
        <row r="10">
          <cell r="B10">
            <v>9</v>
          </cell>
          <cell r="D10">
            <v>0.75</v>
          </cell>
          <cell r="E10">
            <v>0</v>
          </cell>
          <cell r="F10">
            <v>1</v>
          </cell>
          <cell r="G10">
            <v>7</v>
          </cell>
          <cell r="H10">
            <v>8</v>
          </cell>
        </row>
        <row r="11">
          <cell r="B11">
            <v>10</v>
          </cell>
          <cell r="C11">
            <v>0.34849999999999998</v>
          </cell>
          <cell r="D11">
            <v>0.76</v>
          </cell>
          <cell r="E11">
            <v>0</v>
          </cell>
          <cell r="F11">
            <v>8</v>
          </cell>
          <cell r="G11">
            <v>6</v>
          </cell>
          <cell r="H11">
            <v>14</v>
          </cell>
        </row>
        <row r="12">
          <cell r="B12">
            <v>11</v>
          </cell>
          <cell r="C12">
            <v>0.39389999999999997</v>
          </cell>
          <cell r="D12">
            <v>0.76</v>
          </cell>
          <cell r="E12">
            <v>0.25369999999999998</v>
          </cell>
          <cell r="F12">
            <v>12</v>
          </cell>
          <cell r="G12">
            <v>24</v>
          </cell>
          <cell r="H12">
            <v>36</v>
          </cell>
        </row>
        <row r="13">
          <cell r="B13">
            <v>12</v>
          </cell>
          <cell r="C13">
            <v>0.33329999999999999</v>
          </cell>
          <cell r="D13">
            <v>0.81</v>
          </cell>
          <cell r="E13">
            <v>0.28360000000000002</v>
          </cell>
          <cell r="F13">
            <v>26</v>
          </cell>
          <cell r="G13">
            <v>30</v>
          </cell>
          <cell r="H13">
            <v>56</v>
          </cell>
        </row>
        <row r="14">
          <cell r="B14">
            <v>13</v>
          </cell>
          <cell r="C14">
            <v>0.42420000000000002</v>
          </cell>
          <cell r="D14">
            <v>0.77</v>
          </cell>
          <cell r="E14">
            <v>0.28360000000000002</v>
          </cell>
          <cell r="F14">
            <v>29</v>
          </cell>
          <cell r="G14">
            <v>55</v>
          </cell>
          <cell r="H14">
            <v>84</v>
          </cell>
        </row>
        <row r="15">
          <cell r="B15">
            <v>14</v>
          </cell>
          <cell r="C15">
            <v>0.45450000000000002</v>
          </cell>
          <cell r="D15">
            <v>0.72</v>
          </cell>
          <cell r="E15">
            <v>0.29849999999999999</v>
          </cell>
          <cell r="F15">
            <v>47</v>
          </cell>
          <cell r="G15">
            <v>47</v>
          </cell>
          <cell r="H15">
            <v>94</v>
          </cell>
        </row>
        <row r="16">
          <cell r="B16">
            <v>15</v>
          </cell>
          <cell r="C16">
            <v>0.45450000000000002</v>
          </cell>
          <cell r="D16">
            <v>0.72</v>
          </cell>
          <cell r="E16">
            <v>0.28360000000000002</v>
          </cell>
          <cell r="F16">
            <v>35</v>
          </cell>
          <cell r="G16">
            <v>71</v>
          </cell>
          <cell r="H16">
            <v>106</v>
          </cell>
        </row>
        <row r="17">
          <cell r="B17">
            <v>16</v>
          </cell>
          <cell r="C17">
            <v>0.43940000000000001</v>
          </cell>
          <cell r="D17">
            <v>0.77</v>
          </cell>
          <cell r="E17">
            <v>0.29849999999999999</v>
          </cell>
          <cell r="F17">
            <v>40</v>
          </cell>
          <cell r="G17">
            <v>70</v>
          </cell>
          <cell r="H17">
            <v>110</v>
          </cell>
        </row>
        <row r="18">
          <cell r="B18">
            <v>17</v>
          </cell>
          <cell r="C18">
            <v>0.42420000000000002</v>
          </cell>
          <cell r="D18">
            <v>0.82</v>
          </cell>
          <cell r="E18">
            <v>0.29849999999999999</v>
          </cell>
          <cell r="F18">
            <v>41</v>
          </cell>
          <cell r="G18">
            <v>52</v>
          </cell>
          <cell r="H18">
            <v>93</v>
          </cell>
        </row>
        <row r="19">
          <cell r="B19">
            <v>18</v>
          </cell>
          <cell r="D19">
            <v>0.82</v>
          </cell>
          <cell r="E19">
            <v>0.28360000000000002</v>
          </cell>
          <cell r="F19">
            <v>15</v>
          </cell>
          <cell r="G19">
            <v>52</v>
          </cell>
          <cell r="H19">
            <v>67</v>
          </cell>
        </row>
        <row r="20">
          <cell r="B20">
            <v>19</v>
          </cell>
          <cell r="C20">
            <v>0.42420000000000002</v>
          </cell>
          <cell r="D20">
            <v>0.88</v>
          </cell>
          <cell r="E20">
            <v>0.25369999999999998</v>
          </cell>
          <cell r="F20">
            <v>9</v>
          </cell>
          <cell r="G20">
            <v>26</v>
          </cell>
          <cell r="H20">
            <v>35</v>
          </cell>
        </row>
        <row r="21">
          <cell r="B21">
            <v>20</v>
          </cell>
          <cell r="C21">
            <v>0.42420000000000002</v>
          </cell>
          <cell r="D21">
            <v>0.88</v>
          </cell>
          <cell r="E21">
            <v>0.25369999999999998</v>
          </cell>
          <cell r="F21">
            <v>6</v>
          </cell>
          <cell r="G21">
            <v>31</v>
          </cell>
          <cell r="H21">
            <v>37</v>
          </cell>
        </row>
        <row r="22">
          <cell r="B22">
            <v>21</v>
          </cell>
          <cell r="C22">
            <v>0.40910000000000002</v>
          </cell>
          <cell r="D22">
            <v>0.87</v>
          </cell>
          <cell r="E22">
            <v>0.25369999999999998</v>
          </cell>
          <cell r="F22">
            <v>11</v>
          </cell>
          <cell r="G22">
            <v>25</v>
          </cell>
          <cell r="H22">
            <v>36</v>
          </cell>
        </row>
        <row r="23">
          <cell r="B23">
            <v>22</v>
          </cell>
          <cell r="C23">
            <v>0.40910000000000002</v>
          </cell>
          <cell r="D23">
            <v>0.87</v>
          </cell>
          <cell r="E23">
            <v>0.19400000000000001</v>
          </cell>
          <cell r="F23">
            <v>3</v>
          </cell>
          <cell r="G23">
            <v>31</v>
          </cell>
          <cell r="H23">
            <v>34</v>
          </cell>
        </row>
        <row r="24">
          <cell r="B24">
            <v>23</v>
          </cell>
          <cell r="C24">
            <v>0.40910000000000002</v>
          </cell>
          <cell r="D24">
            <v>0.94</v>
          </cell>
          <cell r="E24">
            <v>0.22389999999999999</v>
          </cell>
          <cell r="F24">
            <v>11</v>
          </cell>
          <cell r="G24">
            <v>17</v>
          </cell>
          <cell r="H24">
            <v>28</v>
          </cell>
        </row>
        <row r="25">
          <cell r="B25">
            <v>24</v>
          </cell>
          <cell r="D25">
            <v>0.88</v>
          </cell>
          <cell r="E25">
            <v>0.29849999999999999</v>
          </cell>
          <cell r="F25">
            <v>15</v>
          </cell>
          <cell r="G25">
            <v>24</v>
          </cell>
          <cell r="H25">
            <v>39</v>
          </cell>
        </row>
        <row r="26">
          <cell r="B26">
            <v>25</v>
          </cell>
          <cell r="C26">
            <v>0.45450000000000002</v>
          </cell>
          <cell r="D26">
            <v>0.88</v>
          </cell>
          <cell r="E26">
            <v>0.29849999999999999</v>
          </cell>
          <cell r="F26">
            <v>4</v>
          </cell>
          <cell r="G26">
            <v>13</v>
          </cell>
          <cell r="H26">
            <v>17</v>
          </cell>
        </row>
        <row r="27">
          <cell r="B27">
            <v>26</v>
          </cell>
          <cell r="C27">
            <v>0.43940000000000001</v>
          </cell>
          <cell r="D27">
            <v>0.94</v>
          </cell>
          <cell r="E27">
            <v>0.25369999999999998</v>
          </cell>
          <cell r="F27">
            <v>1</v>
          </cell>
          <cell r="G27">
            <v>16</v>
          </cell>
          <cell r="H27">
            <v>17</v>
          </cell>
        </row>
        <row r="28">
          <cell r="B28">
            <v>27</v>
          </cell>
          <cell r="C28">
            <v>0.42420000000000002</v>
          </cell>
          <cell r="D28">
            <v>1</v>
          </cell>
          <cell r="E28">
            <v>0.28360000000000002</v>
          </cell>
          <cell r="F28">
            <v>1</v>
          </cell>
          <cell r="G28">
            <v>8</v>
          </cell>
          <cell r="H28">
            <v>9</v>
          </cell>
        </row>
        <row r="29">
          <cell r="B29">
            <v>28</v>
          </cell>
          <cell r="C29">
            <v>0.45450000000000002</v>
          </cell>
          <cell r="D29">
            <v>0.94</v>
          </cell>
          <cell r="E29">
            <v>0.19400000000000001</v>
          </cell>
          <cell r="F29">
            <v>2</v>
          </cell>
          <cell r="G29">
            <v>4</v>
          </cell>
          <cell r="H29">
            <v>6</v>
          </cell>
        </row>
        <row r="30">
          <cell r="B30">
            <v>29</v>
          </cell>
          <cell r="D30">
            <v>0.94</v>
          </cell>
          <cell r="E30">
            <v>0.19400000000000001</v>
          </cell>
          <cell r="F30">
            <v>2</v>
          </cell>
          <cell r="G30">
            <v>1</v>
          </cell>
          <cell r="H30">
            <v>3</v>
          </cell>
        </row>
        <row r="31">
          <cell r="B31">
            <v>30</v>
          </cell>
          <cell r="C31">
            <v>0.42420000000000002</v>
          </cell>
          <cell r="D31">
            <v>0.77</v>
          </cell>
          <cell r="E31">
            <v>0.29849999999999999</v>
          </cell>
          <cell r="F31">
            <v>0</v>
          </cell>
          <cell r="G31">
            <v>2</v>
          </cell>
          <cell r="H31">
            <v>2</v>
          </cell>
        </row>
        <row r="32">
          <cell r="B32">
            <v>31</v>
          </cell>
          <cell r="C32">
            <v>0.40910000000000002</v>
          </cell>
          <cell r="D32">
            <v>0.76</v>
          </cell>
          <cell r="E32">
            <v>0.19400000000000001</v>
          </cell>
          <cell r="F32">
            <v>0</v>
          </cell>
          <cell r="G32">
            <v>1</v>
          </cell>
          <cell r="H32">
            <v>1</v>
          </cell>
        </row>
        <row r="33">
          <cell r="B33">
            <v>32</v>
          </cell>
          <cell r="C33">
            <v>0.40910000000000002</v>
          </cell>
          <cell r="D33">
            <v>0.71</v>
          </cell>
          <cell r="E33">
            <v>0.22389999999999999</v>
          </cell>
          <cell r="F33">
            <v>0</v>
          </cell>
          <cell r="G33">
            <v>8</v>
          </cell>
          <cell r="H33">
            <v>8</v>
          </cell>
        </row>
        <row r="34">
          <cell r="B34">
            <v>33</v>
          </cell>
          <cell r="D34">
            <v>0.76</v>
          </cell>
          <cell r="E34">
            <v>0.22389999999999999</v>
          </cell>
          <cell r="F34">
            <v>1</v>
          </cell>
          <cell r="G34">
            <v>19</v>
          </cell>
          <cell r="H34">
            <v>20</v>
          </cell>
        </row>
        <row r="35">
          <cell r="B35">
            <v>34</v>
          </cell>
          <cell r="C35">
            <v>0.34849999999999998</v>
          </cell>
          <cell r="D35">
            <v>0.81</v>
          </cell>
          <cell r="E35">
            <v>0.22389999999999999</v>
          </cell>
          <cell r="F35">
            <v>7</v>
          </cell>
          <cell r="G35">
            <v>46</v>
          </cell>
          <cell r="H35">
            <v>53</v>
          </cell>
        </row>
        <row r="36">
          <cell r="B36">
            <v>35</v>
          </cell>
          <cell r="C36">
            <v>0.33329999999999999</v>
          </cell>
          <cell r="D36">
            <v>0.71</v>
          </cell>
          <cell r="E36">
            <v>0.25369999999999998</v>
          </cell>
          <cell r="F36">
            <v>16</v>
          </cell>
          <cell r="G36">
            <v>54</v>
          </cell>
          <cell r="H36">
            <v>70</v>
          </cell>
        </row>
        <row r="37">
          <cell r="B37">
            <v>36</v>
          </cell>
          <cell r="C37">
            <v>0.33329999999999999</v>
          </cell>
          <cell r="D37">
            <v>0.66</v>
          </cell>
          <cell r="E37">
            <v>0.29849999999999999</v>
          </cell>
          <cell r="F37">
            <v>20</v>
          </cell>
          <cell r="G37">
            <v>73</v>
          </cell>
          <cell r="H37">
            <v>93</v>
          </cell>
        </row>
        <row r="38">
          <cell r="B38">
            <v>37</v>
          </cell>
          <cell r="C38">
            <v>0.34849999999999998</v>
          </cell>
          <cell r="D38">
            <v>0.66</v>
          </cell>
          <cell r="E38">
            <v>0.1343</v>
          </cell>
          <cell r="F38">
            <v>11</v>
          </cell>
          <cell r="G38">
            <v>64</v>
          </cell>
          <cell r="H38">
            <v>75</v>
          </cell>
        </row>
        <row r="39">
          <cell r="B39">
            <v>38</v>
          </cell>
          <cell r="D39">
            <v>0.76</v>
          </cell>
          <cell r="E39">
            <v>0.19400000000000001</v>
          </cell>
          <cell r="F39">
            <v>4</v>
          </cell>
          <cell r="G39">
            <v>55</v>
          </cell>
          <cell r="H39">
            <v>59</v>
          </cell>
        </row>
        <row r="40">
          <cell r="B40">
            <v>39</v>
          </cell>
          <cell r="C40">
            <v>0.33329999999999999</v>
          </cell>
          <cell r="D40">
            <v>0.81</v>
          </cell>
          <cell r="E40">
            <v>0.16420000000000001</v>
          </cell>
          <cell r="F40">
            <v>19</v>
          </cell>
          <cell r="G40">
            <v>55</v>
          </cell>
          <cell r="H40">
            <v>74</v>
          </cell>
        </row>
        <row r="41">
          <cell r="B41">
            <v>40</v>
          </cell>
          <cell r="C41">
            <v>0.33329999999999999</v>
          </cell>
          <cell r="D41">
            <v>0.71</v>
          </cell>
          <cell r="E41">
            <v>0.16420000000000001</v>
          </cell>
          <cell r="F41">
            <v>9</v>
          </cell>
          <cell r="G41">
            <v>67</v>
          </cell>
          <cell r="H41">
            <v>76</v>
          </cell>
        </row>
        <row r="42">
          <cell r="B42">
            <v>41</v>
          </cell>
          <cell r="C42">
            <v>0.33329999999999999</v>
          </cell>
          <cell r="D42">
            <v>0.56999999999999995</v>
          </cell>
          <cell r="E42">
            <v>0.19400000000000001</v>
          </cell>
          <cell r="F42">
            <v>7</v>
          </cell>
          <cell r="G42">
            <v>58</v>
          </cell>
          <cell r="H42">
            <v>65</v>
          </cell>
        </row>
        <row r="43">
          <cell r="B43">
            <v>42</v>
          </cell>
          <cell r="C43">
            <v>0.33329999999999999</v>
          </cell>
          <cell r="D43">
            <v>0.46</v>
          </cell>
          <cell r="E43">
            <v>0.32840000000000003</v>
          </cell>
          <cell r="F43">
            <v>10</v>
          </cell>
          <cell r="G43">
            <v>43</v>
          </cell>
          <cell r="H43">
            <v>53</v>
          </cell>
        </row>
        <row r="44">
          <cell r="B44">
            <v>43</v>
          </cell>
          <cell r="C44">
            <v>0.28789999999999999</v>
          </cell>
          <cell r="D44">
            <v>0.42</v>
          </cell>
          <cell r="E44">
            <v>0.44779999999999998</v>
          </cell>
          <cell r="F44">
            <v>1</v>
          </cell>
          <cell r="G44">
            <v>29</v>
          </cell>
          <cell r="H44">
            <v>30</v>
          </cell>
        </row>
        <row r="45">
          <cell r="B45">
            <v>44</v>
          </cell>
          <cell r="D45">
            <v>0.39</v>
          </cell>
          <cell r="E45">
            <v>0.35820000000000002</v>
          </cell>
          <cell r="F45">
            <v>5</v>
          </cell>
          <cell r="G45">
            <v>17</v>
          </cell>
          <cell r="H45">
            <v>22</v>
          </cell>
        </row>
        <row r="46">
          <cell r="B46">
            <v>45</v>
          </cell>
          <cell r="C46">
            <v>0.2273</v>
          </cell>
          <cell r="D46">
            <v>0.44</v>
          </cell>
          <cell r="E46">
            <v>0.32840000000000003</v>
          </cell>
          <cell r="F46">
            <v>11</v>
          </cell>
          <cell r="G46">
            <v>20</v>
          </cell>
          <cell r="H46">
            <v>31</v>
          </cell>
        </row>
        <row r="47">
          <cell r="B47">
            <v>46</v>
          </cell>
          <cell r="C47">
            <v>0.21210000000000001</v>
          </cell>
          <cell r="D47">
            <v>0.44</v>
          </cell>
          <cell r="E47">
            <v>0.29849999999999999</v>
          </cell>
          <cell r="F47">
            <v>0</v>
          </cell>
          <cell r="G47">
            <v>9</v>
          </cell>
          <cell r="H47">
            <v>9</v>
          </cell>
        </row>
        <row r="48">
          <cell r="B48">
            <v>47</v>
          </cell>
          <cell r="C48">
            <v>0.2273</v>
          </cell>
          <cell r="D48">
            <v>0.47</v>
          </cell>
          <cell r="E48">
            <v>0.16420000000000001</v>
          </cell>
          <cell r="F48">
            <v>0</v>
          </cell>
          <cell r="G48">
            <v>8</v>
          </cell>
          <cell r="H48">
            <v>8</v>
          </cell>
        </row>
        <row r="49">
          <cell r="B49">
            <v>48</v>
          </cell>
          <cell r="C49">
            <v>0.19700000000000001</v>
          </cell>
          <cell r="D49">
            <v>0.44</v>
          </cell>
          <cell r="E49">
            <v>0.35820000000000002</v>
          </cell>
          <cell r="F49">
            <v>0</v>
          </cell>
          <cell r="G49">
            <v>5</v>
          </cell>
          <cell r="H49">
            <v>5</v>
          </cell>
        </row>
        <row r="50">
          <cell r="B50">
            <v>49</v>
          </cell>
          <cell r="D50">
            <v>0.44</v>
          </cell>
          <cell r="E50">
            <v>0.41789999999999999</v>
          </cell>
          <cell r="F50">
            <v>0</v>
          </cell>
          <cell r="G50">
            <v>2</v>
          </cell>
          <cell r="H50">
            <v>2</v>
          </cell>
        </row>
        <row r="51">
          <cell r="B51">
            <v>50</v>
          </cell>
          <cell r="C51">
            <v>0.13639999999999999</v>
          </cell>
          <cell r="D51">
            <v>0.47</v>
          </cell>
          <cell r="E51">
            <v>0.3881</v>
          </cell>
          <cell r="F51">
            <v>0</v>
          </cell>
          <cell r="G51">
            <v>1</v>
          </cell>
          <cell r="H51">
            <v>1</v>
          </cell>
        </row>
        <row r="52">
          <cell r="B52">
            <v>51</v>
          </cell>
          <cell r="C52">
            <v>0.13639999999999999</v>
          </cell>
          <cell r="D52">
            <v>0.47</v>
          </cell>
          <cell r="E52">
            <v>0.28360000000000002</v>
          </cell>
          <cell r="F52">
            <v>0</v>
          </cell>
          <cell r="G52">
            <v>3</v>
          </cell>
          <cell r="H52">
            <v>3</v>
          </cell>
        </row>
        <row r="53">
          <cell r="B53">
            <v>52</v>
          </cell>
          <cell r="C53">
            <v>0.1061</v>
          </cell>
          <cell r="D53">
            <v>0.5</v>
          </cell>
          <cell r="E53">
            <v>0.3881</v>
          </cell>
          <cell r="F53">
            <v>0</v>
          </cell>
          <cell r="G53">
            <v>30</v>
          </cell>
          <cell r="H53">
            <v>30</v>
          </cell>
        </row>
        <row r="54">
          <cell r="B54">
            <v>53</v>
          </cell>
          <cell r="C54">
            <v>0.13639999999999999</v>
          </cell>
          <cell r="D54">
            <v>0.5</v>
          </cell>
          <cell r="E54">
            <v>0.19400000000000001</v>
          </cell>
          <cell r="F54">
            <v>1</v>
          </cell>
          <cell r="G54">
            <v>63</v>
          </cell>
          <cell r="H54">
            <v>64</v>
          </cell>
        </row>
        <row r="55">
          <cell r="B55">
            <v>54</v>
          </cell>
          <cell r="C55">
            <v>0.1212</v>
          </cell>
          <cell r="D55">
            <v>0.5</v>
          </cell>
          <cell r="E55">
            <v>0.28360000000000002</v>
          </cell>
          <cell r="F55">
            <v>1</v>
          </cell>
          <cell r="G55">
            <v>153</v>
          </cell>
          <cell r="H55">
            <v>154</v>
          </cell>
        </row>
        <row r="56">
          <cell r="B56">
            <v>55</v>
          </cell>
          <cell r="C56">
            <v>0.13639999999999999</v>
          </cell>
          <cell r="D56">
            <v>0.43</v>
          </cell>
          <cell r="E56">
            <v>0.3881</v>
          </cell>
          <cell r="F56">
            <v>7</v>
          </cell>
          <cell r="G56">
            <v>81</v>
          </cell>
          <cell r="H56">
            <v>88</v>
          </cell>
        </row>
        <row r="57">
          <cell r="B57">
            <v>56</v>
          </cell>
          <cell r="C57">
            <v>0.16669999999999999</v>
          </cell>
          <cell r="D57">
            <v>0.43</v>
          </cell>
          <cell r="E57">
            <v>0.25369999999999998</v>
          </cell>
          <cell r="F57">
            <v>11</v>
          </cell>
          <cell r="G57">
            <v>33</v>
          </cell>
          <cell r="H57">
            <v>44</v>
          </cell>
        </row>
        <row r="58">
          <cell r="B58">
            <v>57</v>
          </cell>
          <cell r="C58">
            <v>0.18179999999999999</v>
          </cell>
          <cell r="D58">
            <v>0.4</v>
          </cell>
          <cell r="E58">
            <v>0.32840000000000003</v>
          </cell>
          <cell r="F58">
            <v>10</v>
          </cell>
          <cell r="G58">
            <v>41</v>
          </cell>
          <cell r="H58">
            <v>51</v>
          </cell>
        </row>
        <row r="59">
          <cell r="B59">
            <v>58</v>
          </cell>
          <cell r="C59">
            <v>0.21210000000000001</v>
          </cell>
          <cell r="D59">
            <v>0.35</v>
          </cell>
          <cell r="E59">
            <v>0.29849999999999999</v>
          </cell>
          <cell r="F59">
            <v>13</v>
          </cell>
          <cell r="G59">
            <v>48</v>
          </cell>
          <cell r="H59">
            <v>61</v>
          </cell>
        </row>
        <row r="60">
          <cell r="B60">
            <v>59</v>
          </cell>
          <cell r="D60">
            <v>0.35</v>
          </cell>
          <cell r="E60">
            <v>0.28360000000000002</v>
          </cell>
          <cell r="F60">
            <v>8</v>
          </cell>
          <cell r="G60">
            <v>53</v>
          </cell>
          <cell r="H60">
            <v>61</v>
          </cell>
        </row>
        <row r="61">
          <cell r="B61">
            <v>60</v>
          </cell>
          <cell r="C61">
            <v>0.2424</v>
          </cell>
          <cell r="D61">
            <v>0.3</v>
          </cell>
          <cell r="E61">
            <v>0.28360000000000002</v>
          </cell>
          <cell r="F61">
            <v>11</v>
          </cell>
          <cell r="G61">
            <v>66</v>
          </cell>
          <cell r="H61">
            <v>77</v>
          </cell>
        </row>
        <row r="62">
          <cell r="B62">
            <v>61</v>
          </cell>
          <cell r="C62">
            <v>0.2424</v>
          </cell>
          <cell r="D62">
            <v>0.3</v>
          </cell>
          <cell r="E62">
            <v>0.25369999999999998</v>
          </cell>
          <cell r="F62">
            <v>14</v>
          </cell>
          <cell r="G62">
            <v>58</v>
          </cell>
          <cell r="H62">
            <v>72</v>
          </cell>
        </row>
        <row r="63">
          <cell r="B63">
            <v>62</v>
          </cell>
          <cell r="C63">
            <v>0.2424</v>
          </cell>
          <cell r="D63">
            <v>0.3</v>
          </cell>
          <cell r="E63">
            <v>0.25369999999999998</v>
          </cell>
          <cell r="F63">
            <v>9</v>
          </cell>
          <cell r="G63">
            <v>67</v>
          </cell>
          <cell r="H63">
            <v>76</v>
          </cell>
        </row>
        <row r="64">
          <cell r="B64">
            <v>63</v>
          </cell>
          <cell r="C64">
            <v>0.2273</v>
          </cell>
          <cell r="D64">
            <v>0.3</v>
          </cell>
          <cell r="E64">
            <v>0.22389999999999999</v>
          </cell>
          <cell r="F64">
            <v>11</v>
          </cell>
          <cell r="G64">
            <v>146</v>
          </cell>
          <cell r="H64">
            <v>157</v>
          </cell>
        </row>
        <row r="65">
          <cell r="B65">
            <v>64</v>
          </cell>
          <cell r="C65">
            <v>0.2576</v>
          </cell>
          <cell r="D65">
            <v>0.32</v>
          </cell>
          <cell r="E65">
            <v>0.1045</v>
          </cell>
          <cell r="F65">
            <v>9</v>
          </cell>
          <cell r="G65">
            <v>148</v>
          </cell>
          <cell r="H65">
            <v>157</v>
          </cell>
        </row>
        <row r="66">
          <cell r="B66">
            <v>65</v>
          </cell>
          <cell r="C66">
            <v>0.2576</v>
          </cell>
          <cell r="D66">
            <v>0.47</v>
          </cell>
          <cell r="E66">
            <v>0</v>
          </cell>
          <cell r="F66">
            <v>8</v>
          </cell>
          <cell r="G66">
            <v>102</v>
          </cell>
          <cell r="H66">
            <v>110</v>
          </cell>
        </row>
        <row r="67">
          <cell r="B67">
            <v>66</v>
          </cell>
          <cell r="D67">
            <v>0.47</v>
          </cell>
          <cell r="E67">
            <v>0.1045</v>
          </cell>
          <cell r="F67">
            <v>3</v>
          </cell>
          <cell r="G67">
            <v>49</v>
          </cell>
          <cell r="H67">
            <v>52</v>
          </cell>
        </row>
        <row r="68">
          <cell r="B68">
            <v>67</v>
          </cell>
          <cell r="C68">
            <v>0.19700000000000001</v>
          </cell>
          <cell r="D68">
            <v>0.64</v>
          </cell>
          <cell r="E68">
            <v>0.1343</v>
          </cell>
          <cell r="F68">
            <v>3</v>
          </cell>
          <cell r="G68">
            <v>49</v>
          </cell>
          <cell r="H68">
            <v>52</v>
          </cell>
        </row>
        <row r="69">
          <cell r="B69">
            <v>68</v>
          </cell>
          <cell r="C69">
            <v>0.1515</v>
          </cell>
          <cell r="D69">
            <v>0.69</v>
          </cell>
          <cell r="E69">
            <v>0.1343</v>
          </cell>
          <cell r="F69">
            <v>0</v>
          </cell>
          <cell r="G69">
            <v>20</v>
          </cell>
          <cell r="H69">
            <v>20</v>
          </cell>
        </row>
        <row r="70">
          <cell r="B70">
            <v>69</v>
          </cell>
          <cell r="C70">
            <v>0.21210000000000001</v>
          </cell>
          <cell r="D70">
            <v>0.55000000000000004</v>
          </cell>
          <cell r="E70">
            <v>0.1045</v>
          </cell>
          <cell r="F70">
            <v>1</v>
          </cell>
          <cell r="G70">
            <v>11</v>
          </cell>
          <cell r="H70">
            <v>12</v>
          </cell>
        </row>
        <row r="71">
          <cell r="B71">
            <v>70</v>
          </cell>
          <cell r="D71">
            <v>0.55000000000000004</v>
          </cell>
          <cell r="E71">
            <v>0.1045</v>
          </cell>
          <cell r="F71">
            <v>0</v>
          </cell>
          <cell r="G71">
            <v>5</v>
          </cell>
          <cell r="H71">
            <v>5</v>
          </cell>
        </row>
        <row r="72">
          <cell r="B72">
            <v>71</v>
          </cell>
          <cell r="C72">
            <v>0.18179999999999999</v>
          </cell>
          <cell r="D72">
            <v>0.59</v>
          </cell>
          <cell r="E72">
            <v>0.1045</v>
          </cell>
          <cell r="F72">
            <v>0</v>
          </cell>
          <cell r="G72">
            <v>2</v>
          </cell>
          <cell r="H72">
            <v>2</v>
          </cell>
        </row>
        <row r="73">
          <cell r="B73">
            <v>72</v>
          </cell>
          <cell r="C73">
            <v>0.1515</v>
          </cell>
          <cell r="D73">
            <v>0.63</v>
          </cell>
          <cell r="E73">
            <v>0.1343</v>
          </cell>
          <cell r="F73">
            <v>0</v>
          </cell>
          <cell r="G73">
            <v>1</v>
          </cell>
          <cell r="H73">
            <v>1</v>
          </cell>
        </row>
        <row r="74">
          <cell r="B74">
            <v>73</v>
          </cell>
          <cell r="C74">
            <v>0.18179999999999999</v>
          </cell>
          <cell r="D74">
            <v>0.63</v>
          </cell>
          <cell r="E74">
            <v>8.9599999999999999E-2</v>
          </cell>
          <cell r="F74">
            <v>0</v>
          </cell>
          <cell r="G74">
            <v>2</v>
          </cell>
          <cell r="H74">
            <v>2</v>
          </cell>
        </row>
        <row r="75">
          <cell r="B75">
            <v>74</v>
          </cell>
          <cell r="C75">
            <v>0.1515</v>
          </cell>
          <cell r="D75">
            <v>0.68</v>
          </cell>
          <cell r="E75">
            <v>0.1045</v>
          </cell>
          <cell r="F75">
            <v>0</v>
          </cell>
          <cell r="G75">
            <v>4</v>
          </cell>
          <cell r="H75">
            <v>4</v>
          </cell>
        </row>
        <row r="76">
          <cell r="B76">
            <v>75</v>
          </cell>
          <cell r="C76">
            <v>0.1515</v>
          </cell>
          <cell r="D76">
            <v>0.74</v>
          </cell>
          <cell r="E76">
            <v>0.1045</v>
          </cell>
          <cell r="F76">
            <v>0</v>
          </cell>
          <cell r="G76">
            <v>36</v>
          </cell>
          <cell r="H76">
            <v>36</v>
          </cell>
        </row>
        <row r="77">
          <cell r="B77">
            <v>76</v>
          </cell>
          <cell r="C77">
            <v>0.1515</v>
          </cell>
          <cell r="D77">
            <v>0.74</v>
          </cell>
          <cell r="E77">
            <v>0.1343</v>
          </cell>
          <cell r="F77">
            <v>2</v>
          </cell>
          <cell r="G77">
            <v>92</v>
          </cell>
          <cell r="H77">
            <v>94</v>
          </cell>
        </row>
        <row r="78">
          <cell r="B78">
            <v>77</v>
          </cell>
          <cell r="C78">
            <v>0.1515</v>
          </cell>
          <cell r="D78">
            <v>0.69</v>
          </cell>
          <cell r="E78">
            <v>0.16420000000000001</v>
          </cell>
          <cell r="F78">
            <v>2</v>
          </cell>
          <cell r="G78">
            <v>177</v>
          </cell>
          <cell r="H78">
            <v>179</v>
          </cell>
        </row>
        <row r="79">
          <cell r="B79">
            <v>78</v>
          </cell>
          <cell r="C79">
            <v>0.1515</v>
          </cell>
          <cell r="D79">
            <v>0.64</v>
          </cell>
          <cell r="E79">
            <v>0.22389999999999999</v>
          </cell>
          <cell r="F79">
            <v>2</v>
          </cell>
          <cell r="G79">
            <v>98</v>
          </cell>
          <cell r="H79">
            <v>100</v>
          </cell>
        </row>
        <row r="80">
          <cell r="B80">
            <v>79</v>
          </cell>
          <cell r="C80">
            <v>0.13639999999999999</v>
          </cell>
          <cell r="D80">
            <v>0.69</v>
          </cell>
          <cell r="E80">
            <v>0.32840000000000003</v>
          </cell>
          <cell r="F80">
            <v>5</v>
          </cell>
          <cell r="G80">
            <v>37</v>
          </cell>
          <cell r="H80">
            <v>42</v>
          </cell>
        </row>
        <row r="81">
          <cell r="B81">
            <v>80</v>
          </cell>
          <cell r="C81">
            <v>0.21210000000000001</v>
          </cell>
          <cell r="D81">
            <v>0.51</v>
          </cell>
          <cell r="E81">
            <v>0.29849999999999999</v>
          </cell>
          <cell r="F81">
            <v>7</v>
          </cell>
          <cell r="G81">
            <v>50</v>
          </cell>
          <cell r="H81">
            <v>57</v>
          </cell>
        </row>
        <row r="82">
          <cell r="B82">
            <v>81</v>
          </cell>
          <cell r="C82">
            <v>0.2273</v>
          </cell>
          <cell r="D82">
            <v>0.51</v>
          </cell>
          <cell r="E82">
            <v>0.16420000000000001</v>
          </cell>
          <cell r="F82">
            <v>12</v>
          </cell>
          <cell r="G82">
            <v>66</v>
          </cell>
          <cell r="H82">
            <v>78</v>
          </cell>
        </row>
        <row r="83">
          <cell r="B83">
            <v>82</v>
          </cell>
          <cell r="C83">
            <v>0.2273</v>
          </cell>
          <cell r="D83">
            <v>0.56000000000000005</v>
          </cell>
          <cell r="E83">
            <v>0.19400000000000001</v>
          </cell>
          <cell r="F83">
            <v>18</v>
          </cell>
          <cell r="G83">
            <v>79</v>
          </cell>
          <cell r="H83">
            <v>97</v>
          </cell>
        </row>
        <row r="84">
          <cell r="B84">
            <v>83</v>
          </cell>
          <cell r="C84">
            <v>0.2576</v>
          </cell>
          <cell r="D84">
            <v>0.52</v>
          </cell>
          <cell r="E84">
            <v>0.22389999999999999</v>
          </cell>
          <cell r="F84">
            <v>9</v>
          </cell>
          <cell r="G84">
            <v>54</v>
          </cell>
          <cell r="H84">
            <v>63</v>
          </cell>
        </row>
        <row r="85">
          <cell r="B85">
            <v>84</v>
          </cell>
          <cell r="C85">
            <v>0.2727</v>
          </cell>
          <cell r="D85">
            <v>0.52</v>
          </cell>
          <cell r="E85">
            <v>0.25369999999999998</v>
          </cell>
          <cell r="F85">
            <v>17</v>
          </cell>
          <cell r="G85">
            <v>48</v>
          </cell>
          <cell r="H85">
            <v>65</v>
          </cell>
        </row>
        <row r="86">
          <cell r="B86">
            <v>85</v>
          </cell>
          <cell r="C86">
            <v>0.28789999999999999</v>
          </cell>
          <cell r="D86">
            <v>0.49</v>
          </cell>
          <cell r="E86">
            <v>0.25369999999999998</v>
          </cell>
          <cell r="F86">
            <v>15</v>
          </cell>
          <cell r="G86">
            <v>68</v>
          </cell>
          <cell r="H86">
            <v>83</v>
          </cell>
        </row>
        <row r="87">
          <cell r="B87">
            <v>86</v>
          </cell>
          <cell r="C87">
            <v>0.2727</v>
          </cell>
          <cell r="D87">
            <v>0.48</v>
          </cell>
          <cell r="E87">
            <v>0.22389999999999999</v>
          </cell>
          <cell r="F87">
            <v>10</v>
          </cell>
          <cell r="G87">
            <v>202</v>
          </cell>
          <cell r="H87">
            <v>212</v>
          </cell>
        </row>
        <row r="88">
          <cell r="B88">
            <v>87</v>
          </cell>
          <cell r="C88">
            <v>0.2576</v>
          </cell>
          <cell r="D88">
            <v>0.48</v>
          </cell>
          <cell r="E88">
            <v>0.19400000000000001</v>
          </cell>
          <cell r="F88">
            <v>3</v>
          </cell>
          <cell r="G88">
            <v>179</v>
          </cell>
          <cell r="H88">
            <v>182</v>
          </cell>
        </row>
        <row r="89">
          <cell r="B89">
            <v>88</v>
          </cell>
          <cell r="C89">
            <v>0.2576</v>
          </cell>
          <cell r="D89">
            <v>0.48</v>
          </cell>
          <cell r="E89">
            <v>0.1045</v>
          </cell>
          <cell r="F89">
            <v>2</v>
          </cell>
          <cell r="G89">
            <v>110</v>
          </cell>
          <cell r="H89">
            <v>112</v>
          </cell>
        </row>
        <row r="90">
          <cell r="B90">
            <v>89</v>
          </cell>
          <cell r="C90">
            <v>0.2576</v>
          </cell>
          <cell r="D90">
            <v>0.48</v>
          </cell>
          <cell r="E90">
            <v>0.1045</v>
          </cell>
          <cell r="F90">
            <v>1</v>
          </cell>
          <cell r="G90">
            <v>53</v>
          </cell>
          <cell r="H90">
            <v>54</v>
          </cell>
        </row>
        <row r="91">
          <cell r="B91">
            <v>90</v>
          </cell>
          <cell r="C91">
            <v>0.2727</v>
          </cell>
          <cell r="D91">
            <v>0.64</v>
          </cell>
          <cell r="E91">
            <v>0</v>
          </cell>
          <cell r="F91">
            <v>0</v>
          </cell>
          <cell r="G91">
            <v>48</v>
          </cell>
          <cell r="H91">
            <v>48</v>
          </cell>
        </row>
        <row r="92">
          <cell r="B92">
            <v>91</v>
          </cell>
          <cell r="C92">
            <v>0.2576</v>
          </cell>
          <cell r="D92">
            <v>0.64</v>
          </cell>
          <cell r="E92">
            <v>8.9599999999999999E-2</v>
          </cell>
          <cell r="F92">
            <v>1</v>
          </cell>
          <cell r="G92">
            <v>34</v>
          </cell>
          <cell r="H92">
            <v>35</v>
          </cell>
        </row>
        <row r="93">
          <cell r="B93">
            <v>92</v>
          </cell>
          <cell r="C93">
            <v>0.2273</v>
          </cell>
          <cell r="D93">
            <v>0.69</v>
          </cell>
          <cell r="E93">
            <v>8.9599999999999999E-2</v>
          </cell>
          <cell r="F93">
            <v>2</v>
          </cell>
          <cell r="G93">
            <v>9</v>
          </cell>
          <cell r="H93">
            <v>11</v>
          </cell>
        </row>
        <row r="94">
          <cell r="B94">
            <v>93</v>
          </cell>
          <cell r="C94">
            <v>0.2576</v>
          </cell>
          <cell r="D94">
            <v>0.64</v>
          </cell>
          <cell r="E94">
            <v>0</v>
          </cell>
          <cell r="F94">
            <v>0</v>
          </cell>
          <cell r="G94">
            <v>6</v>
          </cell>
          <cell r="H94">
            <v>6</v>
          </cell>
        </row>
        <row r="95">
          <cell r="B95">
            <v>94</v>
          </cell>
          <cell r="C95">
            <v>0.19700000000000001</v>
          </cell>
          <cell r="D95">
            <v>0.74</v>
          </cell>
          <cell r="E95">
            <v>8.9599999999999999E-2</v>
          </cell>
          <cell r="F95">
            <v>0</v>
          </cell>
          <cell r="G95">
            <v>6</v>
          </cell>
          <cell r="H95">
            <v>6</v>
          </cell>
        </row>
        <row r="96">
          <cell r="B96">
            <v>95</v>
          </cell>
          <cell r="C96">
            <v>0.19700000000000001</v>
          </cell>
          <cell r="D96">
            <v>0.74</v>
          </cell>
          <cell r="E96">
            <v>8.9599999999999999E-2</v>
          </cell>
          <cell r="F96">
            <v>0</v>
          </cell>
          <cell r="G96">
            <v>2</v>
          </cell>
          <cell r="H96">
            <v>2</v>
          </cell>
        </row>
        <row r="97">
          <cell r="B97">
            <v>96</v>
          </cell>
          <cell r="C97">
            <v>0.2273</v>
          </cell>
          <cell r="D97">
            <v>0.48</v>
          </cell>
          <cell r="E97">
            <v>0.22389999999999999</v>
          </cell>
          <cell r="F97">
            <v>0</v>
          </cell>
          <cell r="G97">
            <v>2</v>
          </cell>
          <cell r="H97">
            <v>2</v>
          </cell>
        </row>
        <row r="98">
          <cell r="B98">
            <v>97</v>
          </cell>
          <cell r="C98">
            <v>0.2273</v>
          </cell>
          <cell r="D98">
            <v>0.47</v>
          </cell>
          <cell r="E98">
            <v>0.16420000000000001</v>
          </cell>
          <cell r="F98">
            <v>0</v>
          </cell>
          <cell r="G98">
            <v>3</v>
          </cell>
          <cell r="H98">
            <v>3</v>
          </cell>
        </row>
        <row r="99">
          <cell r="B99">
            <v>98</v>
          </cell>
          <cell r="C99">
            <v>0.19700000000000001</v>
          </cell>
          <cell r="D99">
            <v>0.47</v>
          </cell>
          <cell r="E99">
            <v>0.22389999999999999</v>
          </cell>
          <cell r="F99">
            <v>0</v>
          </cell>
          <cell r="G99">
            <v>33</v>
          </cell>
          <cell r="H99">
            <v>33</v>
          </cell>
        </row>
        <row r="100">
          <cell r="B100">
            <v>99</v>
          </cell>
          <cell r="C100">
            <v>0.18179999999999999</v>
          </cell>
          <cell r="D100">
            <v>0.43</v>
          </cell>
          <cell r="E100">
            <v>0.19400000000000001</v>
          </cell>
          <cell r="F100">
            <v>1</v>
          </cell>
          <cell r="G100">
            <v>87</v>
          </cell>
          <cell r="H100">
            <v>88</v>
          </cell>
        </row>
        <row r="101">
          <cell r="B101">
            <v>100</v>
          </cell>
          <cell r="C101">
            <v>0.18179999999999999</v>
          </cell>
          <cell r="D101">
            <v>0.4</v>
          </cell>
          <cell r="E101">
            <v>0.29849999999999999</v>
          </cell>
          <cell r="F101">
            <v>3</v>
          </cell>
          <cell r="G101">
            <v>192</v>
          </cell>
          <cell r="H101">
            <v>195</v>
          </cell>
        </row>
        <row r="102">
          <cell r="B102">
            <v>101</v>
          </cell>
          <cell r="C102">
            <v>0.19700000000000001</v>
          </cell>
          <cell r="D102">
            <v>0.37</v>
          </cell>
          <cell r="E102">
            <v>0.32840000000000003</v>
          </cell>
          <cell r="F102">
            <v>6</v>
          </cell>
          <cell r="G102">
            <v>109</v>
          </cell>
          <cell r="H102">
            <v>115</v>
          </cell>
        </row>
        <row r="103">
          <cell r="B103">
            <v>102</v>
          </cell>
          <cell r="C103">
            <v>0.19700000000000001</v>
          </cell>
          <cell r="D103">
            <v>0.37</v>
          </cell>
          <cell r="E103">
            <v>0.32840000000000003</v>
          </cell>
          <cell r="F103">
            <v>4</v>
          </cell>
          <cell r="G103">
            <v>53</v>
          </cell>
          <cell r="H103">
            <v>57</v>
          </cell>
        </row>
        <row r="104">
          <cell r="B104">
            <v>103</v>
          </cell>
          <cell r="C104">
            <v>0.2273</v>
          </cell>
          <cell r="D104">
            <v>0.33</v>
          </cell>
          <cell r="E104">
            <v>0.32840000000000003</v>
          </cell>
          <cell r="F104">
            <v>12</v>
          </cell>
          <cell r="G104">
            <v>34</v>
          </cell>
          <cell r="H104">
            <v>46</v>
          </cell>
        </row>
        <row r="105">
          <cell r="B105">
            <v>104</v>
          </cell>
          <cell r="C105">
            <v>0.2273</v>
          </cell>
          <cell r="D105">
            <v>0.33</v>
          </cell>
          <cell r="E105">
            <v>0.32840000000000003</v>
          </cell>
          <cell r="F105">
            <v>5</v>
          </cell>
          <cell r="G105">
            <v>74</v>
          </cell>
          <cell r="H105">
            <v>79</v>
          </cell>
        </row>
        <row r="106">
          <cell r="B106">
            <v>105</v>
          </cell>
          <cell r="C106">
            <v>0.2576</v>
          </cell>
          <cell r="D106">
            <v>0.3</v>
          </cell>
          <cell r="E106">
            <v>0.29849999999999999</v>
          </cell>
          <cell r="F106">
            <v>6</v>
          </cell>
          <cell r="G106">
            <v>65</v>
          </cell>
          <cell r="H106">
            <v>71</v>
          </cell>
        </row>
        <row r="107">
          <cell r="B107">
            <v>106</v>
          </cell>
          <cell r="C107">
            <v>0.28789999999999999</v>
          </cell>
          <cell r="D107">
            <v>0.28000000000000003</v>
          </cell>
          <cell r="E107">
            <v>0.19400000000000001</v>
          </cell>
          <cell r="F107">
            <v>10</v>
          </cell>
          <cell r="G107">
            <v>52</v>
          </cell>
          <cell r="H107">
            <v>62</v>
          </cell>
        </row>
        <row r="108">
          <cell r="B108">
            <v>107</v>
          </cell>
          <cell r="C108">
            <v>0.28789999999999999</v>
          </cell>
          <cell r="D108">
            <v>0.28000000000000003</v>
          </cell>
          <cell r="E108">
            <v>0.19400000000000001</v>
          </cell>
          <cell r="F108">
            <v>7</v>
          </cell>
          <cell r="G108">
            <v>55</v>
          </cell>
          <cell r="H108">
            <v>62</v>
          </cell>
        </row>
        <row r="109">
          <cell r="B109">
            <v>108</v>
          </cell>
          <cell r="C109">
            <v>0.31819999999999998</v>
          </cell>
          <cell r="D109">
            <v>0.28000000000000003</v>
          </cell>
          <cell r="E109">
            <v>8.9599999999999999E-2</v>
          </cell>
          <cell r="F109">
            <v>4</v>
          </cell>
          <cell r="G109">
            <v>85</v>
          </cell>
          <cell r="H109">
            <v>89</v>
          </cell>
        </row>
        <row r="110">
          <cell r="B110">
            <v>109</v>
          </cell>
          <cell r="C110">
            <v>0.2273</v>
          </cell>
          <cell r="D110">
            <v>0.38</v>
          </cell>
          <cell r="E110">
            <v>0.19400000000000001</v>
          </cell>
          <cell r="F110">
            <v>4</v>
          </cell>
          <cell r="G110">
            <v>186</v>
          </cell>
          <cell r="H110">
            <v>190</v>
          </cell>
        </row>
        <row r="111">
          <cell r="B111">
            <v>110</v>
          </cell>
          <cell r="C111">
            <v>0.2424</v>
          </cell>
          <cell r="D111">
            <v>0.38</v>
          </cell>
          <cell r="E111">
            <v>0.1343</v>
          </cell>
          <cell r="F111">
            <v>3</v>
          </cell>
          <cell r="G111">
            <v>166</v>
          </cell>
          <cell r="H111">
            <v>169</v>
          </cell>
        </row>
        <row r="112">
          <cell r="B112">
            <v>111</v>
          </cell>
          <cell r="C112">
            <v>0.2576</v>
          </cell>
          <cell r="D112">
            <v>0.38</v>
          </cell>
          <cell r="E112">
            <v>0.1045</v>
          </cell>
          <cell r="F112">
            <v>5</v>
          </cell>
          <cell r="G112">
            <v>127</v>
          </cell>
          <cell r="H112">
            <v>132</v>
          </cell>
        </row>
        <row r="113">
          <cell r="B113">
            <v>112</v>
          </cell>
          <cell r="C113">
            <v>0.2273</v>
          </cell>
          <cell r="D113">
            <v>0.47</v>
          </cell>
          <cell r="E113">
            <v>0.16420000000000001</v>
          </cell>
          <cell r="F113">
            <v>7</v>
          </cell>
          <cell r="G113">
            <v>82</v>
          </cell>
          <cell r="H113">
            <v>89</v>
          </cell>
        </row>
        <row r="114">
          <cell r="B114">
            <v>113</v>
          </cell>
          <cell r="C114">
            <v>0.19700000000000001</v>
          </cell>
          <cell r="D114">
            <v>0.51</v>
          </cell>
          <cell r="E114">
            <v>0.19400000000000001</v>
          </cell>
          <cell r="F114">
            <v>3</v>
          </cell>
          <cell r="G114">
            <v>40</v>
          </cell>
          <cell r="H114">
            <v>43</v>
          </cell>
        </row>
        <row r="115">
          <cell r="B115">
            <v>114</v>
          </cell>
          <cell r="C115">
            <v>0.19700000000000001</v>
          </cell>
          <cell r="D115">
            <v>0.55000000000000004</v>
          </cell>
          <cell r="E115">
            <v>0.1343</v>
          </cell>
          <cell r="F115">
            <v>1</v>
          </cell>
          <cell r="G115">
            <v>41</v>
          </cell>
          <cell r="H115">
            <v>42</v>
          </cell>
        </row>
        <row r="116">
          <cell r="B116">
            <v>115</v>
          </cell>
          <cell r="C116">
            <v>0.2576</v>
          </cell>
          <cell r="D116">
            <v>0.47</v>
          </cell>
          <cell r="E116">
            <v>0</v>
          </cell>
          <cell r="F116">
            <v>1</v>
          </cell>
          <cell r="G116">
            <v>18</v>
          </cell>
          <cell r="H116">
            <v>19</v>
          </cell>
        </row>
        <row r="117">
          <cell r="B117">
            <v>116</v>
          </cell>
          <cell r="C117">
            <v>0.2424</v>
          </cell>
          <cell r="D117">
            <v>0.55000000000000004</v>
          </cell>
          <cell r="E117">
            <v>0</v>
          </cell>
          <cell r="F117">
            <v>0</v>
          </cell>
          <cell r="G117">
            <v>11</v>
          </cell>
          <cell r="H117">
            <v>11</v>
          </cell>
        </row>
        <row r="118">
          <cell r="B118">
            <v>117</v>
          </cell>
          <cell r="C118">
            <v>0.2273</v>
          </cell>
          <cell r="D118">
            <v>0.64</v>
          </cell>
          <cell r="E118">
            <v>0</v>
          </cell>
          <cell r="F118">
            <v>0</v>
          </cell>
          <cell r="G118">
            <v>4</v>
          </cell>
          <cell r="H118">
            <v>4</v>
          </cell>
        </row>
        <row r="119">
          <cell r="B119">
            <v>118</v>
          </cell>
          <cell r="C119">
            <v>0.2273</v>
          </cell>
          <cell r="D119">
            <v>0.64</v>
          </cell>
          <cell r="E119">
            <v>0</v>
          </cell>
          <cell r="F119">
            <v>0</v>
          </cell>
          <cell r="G119">
            <v>2</v>
          </cell>
          <cell r="H119">
            <v>2</v>
          </cell>
        </row>
        <row r="120">
          <cell r="B120">
            <v>119</v>
          </cell>
          <cell r="C120">
            <v>0.19700000000000001</v>
          </cell>
          <cell r="D120">
            <v>0.64</v>
          </cell>
          <cell r="E120">
            <v>8.9599999999999999E-2</v>
          </cell>
          <cell r="F120">
            <v>0</v>
          </cell>
          <cell r="G120">
            <v>1</v>
          </cell>
          <cell r="H120">
            <v>1</v>
          </cell>
        </row>
        <row r="121">
          <cell r="B121">
            <v>120</v>
          </cell>
          <cell r="C121">
            <v>0.18179999999999999</v>
          </cell>
          <cell r="D121">
            <v>0.69</v>
          </cell>
          <cell r="E121">
            <v>8.9599999999999999E-2</v>
          </cell>
          <cell r="F121">
            <v>0</v>
          </cell>
          <cell r="G121">
            <v>4</v>
          </cell>
          <cell r="H121">
            <v>4</v>
          </cell>
        </row>
        <row r="122">
          <cell r="B122">
            <v>121</v>
          </cell>
          <cell r="C122">
            <v>0.16669999999999999</v>
          </cell>
          <cell r="D122">
            <v>0.63</v>
          </cell>
          <cell r="E122">
            <v>0.1045</v>
          </cell>
          <cell r="F122">
            <v>0</v>
          </cell>
          <cell r="G122">
            <v>36</v>
          </cell>
          <cell r="H122">
            <v>36</v>
          </cell>
        </row>
        <row r="123">
          <cell r="B123">
            <v>122</v>
          </cell>
          <cell r="C123">
            <v>0.2273</v>
          </cell>
          <cell r="D123">
            <v>0.59</v>
          </cell>
          <cell r="E123">
            <v>0</v>
          </cell>
          <cell r="F123">
            <v>0</v>
          </cell>
          <cell r="G123">
            <v>95</v>
          </cell>
          <cell r="H123">
            <v>95</v>
          </cell>
        </row>
        <row r="124">
          <cell r="B124">
            <v>123</v>
          </cell>
          <cell r="C124">
            <v>0.2273</v>
          </cell>
          <cell r="D124">
            <v>0.59</v>
          </cell>
          <cell r="E124">
            <v>0</v>
          </cell>
          <cell r="F124">
            <v>3</v>
          </cell>
          <cell r="G124">
            <v>216</v>
          </cell>
          <cell r="H124">
            <v>219</v>
          </cell>
        </row>
        <row r="125">
          <cell r="B125">
            <v>124</v>
          </cell>
          <cell r="C125">
            <v>0.2424</v>
          </cell>
          <cell r="D125">
            <v>0.51</v>
          </cell>
          <cell r="E125">
            <v>0</v>
          </cell>
          <cell r="F125">
            <v>6</v>
          </cell>
          <cell r="G125">
            <v>116</v>
          </cell>
          <cell r="H125">
            <v>122</v>
          </cell>
        </row>
        <row r="126">
          <cell r="B126">
            <v>125</v>
          </cell>
          <cell r="C126">
            <v>0.2576</v>
          </cell>
          <cell r="D126">
            <v>0.47</v>
          </cell>
          <cell r="E126">
            <v>0</v>
          </cell>
          <cell r="F126">
            <v>3</v>
          </cell>
          <cell r="G126">
            <v>42</v>
          </cell>
          <cell r="H126">
            <v>45</v>
          </cell>
        </row>
        <row r="127">
          <cell r="B127">
            <v>126</v>
          </cell>
          <cell r="C127">
            <v>0.2576</v>
          </cell>
          <cell r="D127">
            <v>0.44</v>
          </cell>
          <cell r="E127">
            <v>8.9599999999999999E-2</v>
          </cell>
          <cell r="F127">
            <v>2</v>
          </cell>
          <cell r="G127">
            <v>57</v>
          </cell>
          <cell r="H127">
            <v>59</v>
          </cell>
        </row>
        <row r="128">
          <cell r="B128">
            <v>127</v>
          </cell>
          <cell r="C128">
            <v>0.28789999999999999</v>
          </cell>
          <cell r="D128">
            <v>0.35</v>
          </cell>
          <cell r="E128">
            <v>0</v>
          </cell>
          <cell r="F128">
            <v>6</v>
          </cell>
          <cell r="G128">
            <v>78</v>
          </cell>
          <cell r="H128">
            <v>84</v>
          </cell>
        </row>
        <row r="129">
          <cell r="B129">
            <v>128</v>
          </cell>
          <cell r="C129">
            <v>0.2727</v>
          </cell>
          <cell r="D129">
            <v>0.35</v>
          </cell>
          <cell r="E129">
            <v>0.1045</v>
          </cell>
          <cell r="F129">
            <v>12</v>
          </cell>
          <cell r="G129">
            <v>55</v>
          </cell>
          <cell r="H129">
            <v>67</v>
          </cell>
        </row>
        <row r="130">
          <cell r="B130">
            <v>129</v>
          </cell>
          <cell r="C130">
            <v>0.2727</v>
          </cell>
          <cell r="D130">
            <v>0.36</v>
          </cell>
          <cell r="E130">
            <v>0.16420000000000001</v>
          </cell>
          <cell r="F130">
            <v>11</v>
          </cell>
          <cell r="G130">
            <v>59</v>
          </cell>
          <cell r="H130">
            <v>70</v>
          </cell>
        </row>
        <row r="131">
          <cell r="B131">
            <v>130</v>
          </cell>
          <cell r="C131">
            <v>0.2727</v>
          </cell>
          <cell r="D131">
            <v>0.36</v>
          </cell>
          <cell r="E131">
            <v>0</v>
          </cell>
          <cell r="F131">
            <v>8</v>
          </cell>
          <cell r="G131">
            <v>54</v>
          </cell>
          <cell r="H131">
            <v>62</v>
          </cell>
        </row>
        <row r="132">
          <cell r="B132">
            <v>131</v>
          </cell>
          <cell r="C132">
            <v>0.2576</v>
          </cell>
          <cell r="D132">
            <v>0.38</v>
          </cell>
          <cell r="E132">
            <v>0.16420000000000001</v>
          </cell>
          <cell r="F132">
            <v>12</v>
          </cell>
          <cell r="G132">
            <v>74</v>
          </cell>
          <cell r="H132">
            <v>86</v>
          </cell>
        </row>
        <row r="133">
          <cell r="B133">
            <v>132</v>
          </cell>
          <cell r="C133">
            <v>0.2273</v>
          </cell>
          <cell r="D133">
            <v>0.51</v>
          </cell>
          <cell r="E133">
            <v>0.16420000000000001</v>
          </cell>
          <cell r="F133">
            <v>9</v>
          </cell>
          <cell r="G133">
            <v>163</v>
          </cell>
          <cell r="H133">
            <v>172</v>
          </cell>
        </row>
        <row r="134">
          <cell r="B134">
            <v>133</v>
          </cell>
          <cell r="C134">
            <v>0.2273</v>
          </cell>
          <cell r="D134">
            <v>0.51</v>
          </cell>
          <cell r="E134">
            <v>0.1343</v>
          </cell>
          <cell r="F134">
            <v>5</v>
          </cell>
          <cell r="G134">
            <v>158</v>
          </cell>
          <cell r="H134">
            <v>163</v>
          </cell>
        </row>
        <row r="135">
          <cell r="B135">
            <v>134</v>
          </cell>
          <cell r="C135">
            <v>0.2576</v>
          </cell>
          <cell r="D135">
            <v>0.55000000000000004</v>
          </cell>
          <cell r="E135">
            <v>8.9599999999999999E-2</v>
          </cell>
          <cell r="F135">
            <v>3</v>
          </cell>
          <cell r="G135">
            <v>109</v>
          </cell>
          <cell r="H135">
            <v>112</v>
          </cell>
        </row>
        <row r="136">
          <cell r="B136">
            <v>135</v>
          </cell>
          <cell r="C136">
            <v>0.21210000000000001</v>
          </cell>
          <cell r="D136">
            <v>0.51</v>
          </cell>
          <cell r="E136">
            <v>0.16420000000000001</v>
          </cell>
          <cell r="F136">
            <v>3</v>
          </cell>
          <cell r="G136">
            <v>66</v>
          </cell>
          <cell r="H136">
            <v>69</v>
          </cell>
        </row>
        <row r="137">
          <cell r="B137">
            <v>136</v>
          </cell>
          <cell r="C137">
            <v>0.21210000000000001</v>
          </cell>
          <cell r="D137">
            <v>0.55000000000000004</v>
          </cell>
          <cell r="E137">
            <v>0.22389999999999999</v>
          </cell>
          <cell r="F137">
            <v>0</v>
          </cell>
          <cell r="G137">
            <v>48</v>
          </cell>
          <cell r="H137">
            <v>48</v>
          </cell>
        </row>
        <row r="138">
          <cell r="B138">
            <v>137</v>
          </cell>
          <cell r="C138">
            <v>0.21210000000000001</v>
          </cell>
          <cell r="D138">
            <v>0.51</v>
          </cell>
          <cell r="E138">
            <v>0.28360000000000002</v>
          </cell>
          <cell r="F138">
            <v>1</v>
          </cell>
          <cell r="G138">
            <v>51</v>
          </cell>
          <cell r="H138">
            <v>52</v>
          </cell>
        </row>
        <row r="139">
          <cell r="B139">
            <v>138</v>
          </cell>
          <cell r="C139">
            <v>0.19700000000000001</v>
          </cell>
          <cell r="D139">
            <v>0.59</v>
          </cell>
          <cell r="E139">
            <v>0.19400000000000001</v>
          </cell>
          <cell r="F139">
            <v>4</v>
          </cell>
          <cell r="G139">
            <v>19</v>
          </cell>
          <cell r="H139">
            <v>23</v>
          </cell>
        </row>
        <row r="140">
          <cell r="B140">
            <v>139</v>
          </cell>
          <cell r="C140">
            <v>0.19700000000000001</v>
          </cell>
          <cell r="D140">
            <v>0.64</v>
          </cell>
          <cell r="E140">
            <v>0.19400000000000001</v>
          </cell>
          <cell r="F140">
            <v>4</v>
          </cell>
          <cell r="G140">
            <v>13</v>
          </cell>
          <cell r="H140">
            <v>17</v>
          </cell>
        </row>
        <row r="141">
          <cell r="B141">
            <v>140</v>
          </cell>
          <cell r="C141">
            <v>0.19700000000000001</v>
          </cell>
          <cell r="D141">
            <v>0.69</v>
          </cell>
          <cell r="E141">
            <v>0.22389999999999999</v>
          </cell>
          <cell r="F141">
            <v>2</v>
          </cell>
          <cell r="G141">
            <v>5</v>
          </cell>
          <cell r="H141">
            <v>7</v>
          </cell>
        </row>
        <row r="142">
          <cell r="B142">
            <v>141</v>
          </cell>
          <cell r="C142">
            <v>0.19700000000000001</v>
          </cell>
          <cell r="D142">
            <v>0.69</v>
          </cell>
          <cell r="E142">
            <v>0.22389999999999999</v>
          </cell>
          <cell r="F142">
            <v>0</v>
          </cell>
          <cell r="G142">
            <v>1</v>
          </cell>
          <cell r="H142">
            <v>1</v>
          </cell>
        </row>
        <row r="143">
          <cell r="B143">
            <v>142</v>
          </cell>
          <cell r="C143">
            <v>0.21210000000000001</v>
          </cell>
          <cell r="D143">
            <v>0.69</v>
          </cell>
          <cell r="E143">
            <v>0.1343</v>
          </cell>
          <cell r="F143">
            <v>0</v>
          </cell>
          <cell r="G143">
            <v>1</v>
          </cell>
          <cell r="H143">
            <v>1</v>
          </cell>
        </row>
        <row r="144">
          <cell r="B144">
            <v>143</v>
          </cell>
          <cell r="C144">
            <v>0.2727</v>
          </cell>
          <cell r="D144">
            <v>0.55000000000000004</v>
          </cell>
          <cell r="E144">
            <v>0</v>
          </cell>
          <cell r="F144">
            <v>0</v>
          </cell>
          <cell r="G144">
            <v>5</v>
          </cell>
          <cell r="H144">
            <v>5</v>
          </cell>
        </row>
        <row r="145">
          <cell r="B145">
            <v>144</v>
          </cell>
          <cell r="C145">
            <v>0.2576</v>
          </cell>
          <cell r="D145">
            <v>0.69</v>
          </cell>
          <cell r="E145">
            <v>0</v>
          </cell>
          <cell r="F145">
            <v>8</v>
          </cell>
          <cell r="G145">
            <v>26</v>
          </cell>
          <cell r="H145">
            <v>34</v>
          </cell>
        </row>
        <row r="146">
          <cell r="B146">
            <v>145</v>
          </cell>
          <cell r="C146">
            <v>0.21210000000000001</v>
          </cell>
          <cell r="D146">
            <v>0.69</v>
          </cell>
          <cell r="E146">
            <v>0.1343</v>
          </cell>
          <cell r="F146">
            <v>8</v>
          </cell>
          <cell r="G146">
            <v>76</v>
          </cell>
          <cell r="H146">
            <v>84</v>
          </cell>
        </row>
        <row r="147">
          <cell r="B147">
            <v>146</v>
          </cell>
          <cell r="C147">
            <v>0.19700000000000001</v>
          </cell>
          <cell r="D147">
            <v>0.51</v>
          </cell>
          <cell r="E147">
            <v>0.25369999999999998</v>
          </cell>
          <cell r="F147">
            <v>20</v>
          </cell>
          <cell r="G147">
            <v>190</v>
          </cell>
          <cell r="H147">
            <v>210</v>
          </cell>
        </row>
        <row r="148">
          <cell r="B148">
            <v>147</v>
          </cell>
          <cell r="C148">
            <v>0.18179999999999999</v>
          </cell>
          <cell r="D148">
            <v>0.47</v>
          </cell>
          <cell r="E148">
            <v>0.29849999999999999</v>
          </cell>
          <cell r="F148">
            <v>9</v>
          </cell>
          <cell r="G148">
            <v>125</v>
          </cell>
          <cell r="H148">
            <v>134</v>
          </cell>
        </row>
        <row r="149">
          <cell r="B149">
            <v>148</v>
          </cell>
          <cell r="C149">
            <v>0.19700000000000001</v>
          </cell>
          <cell r="D149">
            <v>0.37</v>
          </cell>
          <cell r="E149">
            <v>0.32840000000000003</v>
          </cell>
          <cell r="F149">
            <v>16</v>
          </cell>
          <cell r="G149">
            <v>47</v>
          </cell>
          <cell r="H149">
            <v>63</v>
          </cell>
        </row>
        <row r="150">
          <cell r="B150">
            <v>149</v>
          </cell>
          <cell r="C150">
            <v>0.19700000000000001</v>
          </cell>
          <cell r="D150">
            <v>0.4</v>
          </cell>
          <cell r="E150">
            <v>0.22389999999999999</v>
          </cell>
          <cell r="F150">
            <v>19</v>
          </cell>
          <cell r="G150">
            <v>48</v>
          </cell>
          <cell r="H150">
            <v>67</v>
          </cell>
        </row>
        <row r="151">
          <cell r="B151">
            <v>150</v>
          </cell>
          <cell r="C151">
            <v>0.19700000000000001</v>
          </cell>
          <cell r="D151">
            <v>0.37</v>
          </cell>
          <cell r="E151">
            <v>0.25369999999999998</v>
          </cell>
          <cell r="F151">
            <v>9</v>
          </cell>
          <cell r="G151">
            <v>50</v>
          </cell>
          <cell r="H151">
            <v>59</v>
          </cell>
        </row>
        <row r="152">
          <cell r="B152">
            <v>151</v>
          </cell>
          <cell r="C152">
            <v>0.18179999999999999</v>
          </cell>
          <cell r="D152">
            <v>0.37</v>
          </cell>
          <cell r="E152">
            <v>0.28360000000000002</v>
          </cell>
          <cell r="F152">
            <v>9</v>
          </cell>
          <cell r="G152">
            <v>64</v>
          </cell>
          <cell r="H152">
            <v>73</v>
          </cell>
        </row>
        <row r="153">
          <cell r="B153">
            <v>152</v>
          </cell>
          <cell r="C153">
            <v>0.19700000000000001</v>
          </cell>
          <cell r="D153">
            <v>0.4</v>
          </cell>
          <cell r="E153">
            <v>0.25369999999999998</v>
          </cell>
          <cell r="F153">
            <v>7</v>
          </cell>
          <cell r="G153">
            <v>43</v>
          </cell>
          <cell r="H153">
            <v>50</v>
          </cell>
        </row>
        <row r="154">
          <cell r="B154">
            <v>153</v>
          </cell>
          <cell r="C154">
            <v>0.21210000000000001</v>
          </cell>
          <cell r="D154">
            <v>0.37</v>
          </cell>
          <cell r="E154">
            <v>0.16420000000000001</v>
          </cell>
          <cell r="F154">
            <v>9</v>
          </cell>
          <cell r="G154">
            <v>63</v>
          </cell>
          <cell r="H154">
            <v>72</v>
          </cell>
        </row>
        <row r="155">
          <cell r="B155">
            <v>154</v>
          </cell>
          <cell r="C155">
            <v>0.21210000000000001</v>
          </cell>
          <cell r="D155">
            <v>0.37</v>
          </cell>
          <cell r="E155">
            <v>0.16420000000000001</v>
          </cell>
          <cell r="F155">
            <v>5</v>
          </cell>
          <cell r="G155">
            <v>82</v>
          </cell>
          <cell r="H155">
            <v>87</v>
          </cell>
        </row>
        <row r="156">
          <cell r="B156">
            <v>155</v>
          </cell>
          <cell r="C156">
            <v>0.2576</v>
          </cell>
          <cell r="D156">
            <v>0.37</v>
          </cell>
          <cell r="E156">
            <v>0</v>
          </cell>
          <cell r="F156">
            <v>9</v>
          </cell>
          <cell r="G156">
            <v>178</v>
          </cell>
          <cell r="H156">
            <v>187</v>
          </cell>
        </row>
        <row r="157">
          <cell r="B157">
            <v>156</v>
          </cell>
          <cell r="C157">
            <v>0.2273</v>
          </cell>
          <cell r="D157">
            <v>0.4</v>
          </cell>
          <cell r="E157">
            <v>8.9599999999999999E-2</v>
          </cell>
          <cell r="F157">
            <v>7</v>
          </cell>
          <cell r="G157">
            <v>116</v>
          </cell>
          <cell r="H157">
            <v>123</v>
          </cell>
        </row>
        <row r="158">
          <cell r="B158">
            <v>157</v>
          </cell>
          <cell r="C158">
            <v>0.19700000000000001</v>
          </cell>
          <cell r="D158">
            <v>0.55000000000000004</v>
          </cell>
          <cell r="E158">
            <v>8.9599999999999999E-2</v>
          </cell>
          <cell r="F158">
            <v>3</v>
          </cell>
          <cell r="G158">
            <v>92</v>
          </cell>
          <cell r="H158">
            <v>95</v>
          </cell>
        </row>
        <row r="159">
          <cell r="B159">
            <v>158</v>
          </cell>
          <cell r="C159">
            <v>0.21210000000000001</v>
          </cell>
          <cell r="D159">
            <v>0.47</v>
          </cell>
          <cell r="E159">
            <v>0.1045</v>
          </cell>
          <cell r="F159">
            <v>1</v>
          </cell>
          <cell r="G159">
            <v>50</v>
          </cell>
          <cell r="H159">
            <v>51</v>
          </cell>
        </row>
        <row r="160">
          <cell r="B160">
            <v>159</v>
          </cell>
          <cell r="C160">
            <v>0.19700000000000001</v>
          </cell>
          <cell r="D160">
            <v>0.47</v>
          </cell>
          <cell r="E160">
            <v>0.1343</v>
          </cell>
          <cell r="F160">
            <v>0</v>
          </cell>
          <cell r="G160">
            <v>39</v>
          </cell>
          <cell r="H160">
            <v>39</v>
          </cell>
        </row>
        <row r="161">
          <cell r="B161">
            <v>160</v>
          </cell>
          <cell r="C161">
            <v>0.19700000000000001</v>
          </cell>
          <cell r="D161">
            <v>0.43</v>
          </cell>
          <cell r="E161">
            <v>0.16420000000000001</v>
          </cell>
          <cell r="F161">
            <v>2</v>
          </cell>
          <cell r="G161">
            <v>34</v>
          </cell>
          <cell r="H161">
            <v>36</v>
          </cell>
        </row>
        <row r="162">
          <cell r="B162">
            <v>161</v>
          </cell>
          <cell r="C162">
            <v>0.19700000000000001</v>
          </cell>
          <cell r="D162">
            <v>0.51</v>
          </cell>
          <cell r="E162">
            <v>0.16420000000000001</v>
          </cell>
          <cell r="F162">
            <v>1</v>
          </cell>
          <cell r="G162">
            <v>14</v>
          </cell>
          <cell r="H162">
            <v>15</v>
          </cell>
        </row>
        <row r="163">
          <cell r="B163">
            <v>162</v>
          </cell>
          <cell r="C163">
            <v>0.19700000000000001</v>
          </cell>
          <cell r="D163">
            <v>0.51</v>
          </cell>
          <cell r="E163">
            <v>0.16420000000000001</v>
          </cell>
          <cell r="F163">
            <v>1</v>
          </cell>
          <cell r="G163">
            <v>24</v>
          </cell>
          <cell r="H163">
            <v>25</v>
          </cell>
        </row>
        <row r="164">
          <cell r="B164">
            <v>163</v>
          </cell>
          <cell r="C164">
            <v>0.21210000000000001</v>
          </cell>
          <cell r="D164">
            <v>0.55000000000000004</v>
          </cell>
          <cell r="E164">
            <v>8.9599999999999999E-2</v>
          </cell>
          <cell r="F164">
            <v>1</v>
          </cell>
          <cell r="G164">
            <v>15</v>
          </cell>
          <cell r="H164">
            <v>16</v>
          </cell>
        </row>
        <row r="165">
          <cell r="B165">
            <v>164</v>
          </cell>
          <cell r="C165">
            <v>0.2424</v>
          </cell>
          <cell r="D165">
            <v>0.55000000000000004</v>
          </cell>
          <cell r="E165">
            <v>0</v>
          </cell>
          <cell r="F165">
            <v>3</v>
          </cell>
          <cell r="G165">
            <v>13</v>
          </cell>
          <cell r="H165">
            <v>16</v>
          </cell>
        </row>
        <row r="166">
          <cell r="B166">
            <v>165</v>
          </cell>
          <cell r="C166">
            <v>0.19700000000000001</v>
          </cell>
          <cell r="D166">
            <v>0.55000000000000004</v>
          </cell>
          <cell r="E166">
            <v>0.16420000000000001</v>
          </cell>
          <cell r="F166">
            <v>0</v>
          </cell>
          <cell r="G166">
            <v>7</v>
          </cell>
          <cell r="H166">
            <v>7</v>
          </cell>
        </row>
        <row r="167">
          <cell r="B167">
            <v>166</v>
          </cell>
          <cell r="C167">
            <v>0.19700000000000001</v>
          </cell>
          <cell r="D167">
            <v>0.55000000000000004</v>
          </cell>
          <cell r="E167">
            <v>0.16420000000000001</v>
          </cell>
          <cell r="F167">
            <v>0</v>
          </cell>
          <cell r="G167">
            <v>1</v>
          </cell>
          <cell r="H167">
            <v>1</v>
          </cell>
        </row>
        <row r="168">
          <cell r="B168">
            <v>167</v>
          </cell>
          <cell r="C168">
            <v>0.16669999999999999</v>
          </cell>
          <cell r="D168">
            <v>0.74</v>
          </cell>
          <cell r="E168">
            <v>0.16420000000000001</v>
          </cell>
          <cell r="F168">
            <v>0</v>
          </cell>
          <cell r="G168">
            <v>5</v>
          </cell>
          <cell r="H168">
            <v>5</v>
          </cell>
        </row>
        <row r="169">
          <cell r="B169">
            <v>168</v>
          </cell>
          <cell r="C169">
            <v>0.16669999999999999</v>
          </cell>
          <cell r="D169">
            <v>0.74</v>
          </cell>
          <cell r="E169">
            <v>0.16420000000000001</v>
          </cell>
          <cell r="F169">
            <v>0</v>
          </cell>
          <cell r="G169">
            <v>2</v>
          </cell>
          <cell r="H169">
            <v>2</v>
          </cell>
        </row>
        <row r="170">
          <cell r="B170">
            <v>169</v>
          </cell>
          <cell r="C170">
            <v>0.18179999999999999</v>
          </cell>
          <cell r="D170">
            <v>0.74</v>
          </cell>
          <cell r="E170">
            <v>0.1045</v>
          </cell>
          <cell r="F170">
            <v>1</v>
          </cell>
          <cell r="G170">
            <v>8</v>
          </cell>
          <cell r="H170">
            <v>9</v>
          </cell>
        </row>
        <row r="171">
          <cell r="B171">
            <v>170</v>
          </cell>
          <cell r="C171">
            <v>0.18179999999999999</v>
          </cell>
          <cell r="D171">
            <v>0.93</v>
          </cell>
          <cell r="E171">
            <v>0.1045</v>
          </cell>
          <cell r="F171">
            <v>0</v>
          </cell>
          <cell r="G171">
            <v>15</v>
          </cell>
          <cell r="H171">
            <v>15</v>
          </cell>
        </row>
        <row r="172">
          <cell r="B172">
            <v>171</v>
          </cell>
          <cell r="C172">
            <v>0.18179999999999999</v>
          </cell>
          <cell r="D172">
            <v>0.93</v>
          </cell>
          <cell r="E172">
            <v>0.1045</v>
          </cell>
          <cell r="F172">
            <v>0</v>
          </cell>
          <cell r="G172">
            <v>20</v>
          </cell>
          <cell r="H172">
            <v>20</v>
          </cell>
        </row>
        <row r="173">
          <cell r="B173">
            <v>172</v>
          </cell>
          <cell r="C173">
            <v>0.19700000000000001</v>
          </cell>
          <cell r="D173">
            <v>0.8</v>
          </cell>
          <cell r="E173">
            <v>0.16420000000000001</v>
          </cell>
          <cell r="F173">
            <v>5</v>
          </cell>
          <cell r="G173">
            <v>56</v>
          </cell>
          <cell r="H173">
            <v>61</v>
          </cell>
        </row>
        <row r="174">
          <cell r="B174">
            <v>173</v>
          </cell>
          <cell r="C174">
            <v>0.18179999999999999</v>
          </cell>
          <cell r="D174">
            <v>0.69</v>
          </cell>
          <cell r="E174">
            <v>0.3881</v>
          </cell>
          <cell r="F174">
            <v>2</v>
          </cell>
          <cell r="G174">
            <v>60</v>
          </cell>
          <cell r="H174">
            <v>62</v>
          </cell>
        </row>
        <row r="175">
          <cell r="B175">
            <v>174</v>
          </cell>
          <cell r="C175">
            <v>0.18179999999999999</v>
          </cell>
          <cell r="D175">
            <v>0.59</v>
          </cell>
          <cell r="E175">
            <v>0.35820000000000002</v>
          </cell>
          <cell r="F175">
            <v>8</v>
          </cell>
          <cell r="G175">
            <v>90</v>
          </cell>
          <cell r="H175">
            <v>98</v>
          </cell>
        </row>
        <row r="176">
          <cell r="B176">
            <v>175</v>
          </cell>
          <cell r="C176">
            <v>0.18179999999999999</v>
          </cell>
          <cell r="D176">
            <v>0.44</v>
          </cell>
          <cell r="E176">
            <v>0.32840000000000003</v>
          </cell>
          <cell r="F176">
            <v>7</v>
          </cell>
          <cell r="G176">
            <v>95</v>
          </cell>
          <cell r="H176">
            <v>102</v>
          </cell>
        </row>
        <row r="177">
          <cell r="B177">
            <v>176</v>
          </cell>
          <cell r="C177">
            <v>0.16669999999999999</v>
          </cell>
          <cell r="D177">
            <v>0.32</v>
          </cell>
          <cell r="E177">
            <v>0.49249999999999999</v>
          </cell>
          <cell r="F177">
            <v>12</v>
          </cell>
          <cell r="G177">
            <v>83</v>
          </cell>
          <cell r="H177">
            <v>95</v>
          </cell>
        </row>
        <row r="178">
          <cell r="B178">
            <v>177</v>
          </cell>
          <cell r="C178">
            <v>0.16669999999999999</v>
          </cell>
          <cell r="D178">
            <v>0.32</v>
          </cell>
          <cell r="E178">
            <v>0.44779999999999998</v>
          </cell>
          <cell r="F178">
            <v>5</v>
          </cell>
          <cell r="G178">
            <v>69</v>
          </cell>
          <cell r="H178">
            <v>74</v>
          </cell>
        </row>
        <row r="179">
          <cell r="B179">
            <v>178</v>
          </cell>
          <cell r="C179">
            <v>0.13639999999999999</v>
          </cell>
          <cell r="D179">
            <v>0.28999999999999998</v>
          </cell>
          <cell r="E179">
            <v>0.44779999999999998</v>
          </cell>
          <cell r="F179">
            <v>8</v>
          </cell>
          <cell r="G179">
            <v>68</v>
          </cell>
          <cell r="H179">
            <v>76</v>
          </cell>
        </row>
        <row r="180">
          <cell r="B180">
            <v>179</v>
          </cell>
          <cell r="C180">
            <v>0.1212</v>
          </cell>
          <cell r="D180">
            <v>0.37</v>
          </cell>
          <cell r="E180">
            <v>0.55220000000000002</v>
          </cell>
          <cell r="F180">
            <v>5</v>
          </cell>
          <cell r="G180">
            <v>64</v>
          </cell>
          <cell r="H180">
            <v>69</v>
          </cell>
        </row>
        <row r="181">
          <cell r="B181">
            <v>180</v>
          </cell>
          <cell r="C181">
            <v>0.1212</v>
          </cell>
          <cell r="D181">
            <v>0.39</v>
          </cell>
          <cell r="E181">
            <v>0.29849999999999999</v>
          </cell>
          <cell r="F181">
            <v>3</v>
          </cell>
          <cell r="G181">
            <v>52</v>
          </cell>
          <cell r="H181">
            <v>55</v>
          </cell>
        </row>
        <row r="182">
          <cell r="B182">
            <v>181</v>
          </cell>
          <cell r="C182">
            <v>0.1212</v>
          </cell>
          <cell r="D182">
            <v>0.36</v>
          </cell>
          <cell r="E182">
            <v>0.25369999999999998</v>
          </cell>
          <cell r="F182">
            <v>4</v>
          </cell>
          <cell r="G182">
            <v>26</v>
          </cell>
          <cell r="H182">
            <v>30</v>
          </cell>
        </row>
        <row r="183">
          <cell r="B183">
            <v>182</v>
          </cell>
          <cell r="C183">
            <v>0.1212</v>
          </cell>
          <cell r="D183">
            <v>0.36</v>
          </cell>
          <cell r="E183">
            <v>0.25369999999999998</v>
          </cell>
          <cell r="F183">
            <v>0</v>
          </cell>
          <cell r="G183">
            <v>28</v>
          </cell>
          <cell r="H183">
            <v>28</v>
          </cell>
        </row>
        <row r="184">
          <cell r="B184">
            <v>183</v>
          </cell>
          <cell r="C184">
            <v>0.1061</v>
          </cell>
          <cell r="D184">
            <v>0.39</v>
          </cell>
          <cell r="E184">
            <v>0.35820000000000002</v>
          </cell>
          <cell r="F184">
            <v>2</v>
          </cell>
          <cell r="G184">
            <v>35</v>
          </cell>
          <cell r="H184">
            <v>37</v>
          </cell>
        </row>
        <row r="185">
          <cell r="B185">
            <v>184</v>
          </cell>
          <cell r="C185">
            <v>0.1061</v>
          </cell>
          <cell r="D185">
            <v>0.36</v>
          </cell>
          <cell r="E185">
            <v>0.3881</v>
          </cell>
          <cell r="F185">
            <v>1</v>
          </cell>
          <cell r="G185">
            <v>33</v>
          </cell>
          <cell r="H185">
            <v>34</v>
          </cell>
        </row>
        <row r="186">
          <cell r="B186">
            <v>185</v>
          </cell>
          <cell r="C186">
            <v>6.0600000000000001E-2</v>
          </cell>
          <cell r="D186">
            <v>0.39</v>
          </cell>
          <cell r="E186">
            <v>0.44779999999999998</v>
          </cell>
          <cell r="F186">
            <v>0</v>
          </cell>
          <cell r="G186">
            <v>22</v>
          </cell>
          <cell r="H186">
            <v>22</v>
          </cell>
        </row>
        <row r="187">
          <cell r="B187">
            <v>186</v>
          </cell>
          <cell r="C187">
            <v>7.5800000000000006E-2</v>
          </cell>
          <cell r="D187">
            <v>0.42</v>
          </cell>
          <cell r="E187">
            <v>0.3881</v>
          </cell>
          <cell r="F187">
            <v>1</v>
          </cell>
          <cell r="G187">
            <v>24</v>
          </cell>
          <cell r="H187">
            <v>25</v>
          </cell>
        </row>
        <row r="188">
          <cell r="B188">
            <v>187</v>
          </cell>
          <cell r="C188">
            <v>6.0600000000000001E-2</v>
          </cell>
          <cell r="D188">
            <v>0.42</v>
          </cell>
          <cell r="E188">
            <v>0.4627</v>
          </cell>
          <cell r="F188">
            <v>0</v>
          </cell>
          <cell r="G188">
            <v>12</v>
          </cell>
          <cell r="H188">
            <v>12</v>
          </cell>
        </row>
        <row r="189">
          <cell r="B189">
            <v>188</v>
          </cell>
          <cell r="C189">
            <v>6.0600000000000001E-2</v>
          </cell>
          <cell r="D189">
            <v>0.46</v>
          </cell>
          <cell r="E189">
            <v>0.4627</v>
          </cell>
          <cell r="F189">
            <v>0</v>
          </cell>
          <cell r="G189">
            <v>11</v>
          </cell>
          <cell r="H189">
            <v>11</v>
          </cell>
        </row>
        <row r="190">
          <cell r="B190">
            <v>189</v>
          </cell>
          <cell r="C190">
            <v>7.5800000000000006E-2</v>
          </cell>
          <cell r="D190">
            <v>0.46</v>
          </cell>
          <cell r="E190">
            <v>0.41789999999999999</v>
          </cell>
          <cell r="F190">
            <v>0</v>
          </cell>
          <cell r="G190">
            <v>4</v>
          </cell>
          <cell r="H190">
            <v>4</v>
          </cell>
        </row>
        <row r="191">
          <cell r="B191">
            <v>190</v>
          </cell>
          <cell r="C191">
            <v>9.0899999999999995E-2</v>
          </cell>
          <cell r="D191">
            <v>0.53</v>
          </cell>
          <cell r="E191">
            <v>0.19400000000000001</v>
          </cell>
          <cell r="F191">
            <v>0</v>
          </cell>
          <cell r="G191">
            <v>1</v>
          </cell>
          <cell r="H191">
            <v>1</v>
          </cell>
        </row>
        <row r="192">
          <cell r="B192">
            <v>191</v>
          </cell>
          <cell r="C192">
            <v>9.0899999999999995E-2</v>
          </cell>
          <cell r="D192">
            <v>0.53</v>
          </cell>
          <cell r="E192">
            <v>0.19400000000000001</v>
          </cell>
          <cell r="F192">
            <v>0</v>
          </cell>
          <cell r="G192">
            <v>1</v>
          </cell>
          <cell r="H192">
            <v>1</v>
          </cell>
        </row>
        <row r="193">
          <cell r="B193">
            <v>192</v>
          </cell>
          <cell r="C193">
            <v>9.0899999999999995E-2</v>
          </cell>
          <cell r="D193">
            <v>0.49</v>
          </cell>
          <cell r="E193">
            <v>0.28360000000000002</v>
          </cell>
          <cell r="F193">
            <v>0</v>
          </cell>
          <cell r="G193">
            <v>1</v>
          </cell>
          <cell r="H193">
            <v>1</v>
          </cell>
        </row>
        <row r="194">
          <cell r="B194">
            <v>193</v>
          </cell>
          <cell r="C194">
            <v>9.0899999999999995E-2</v>
          </cell>
          <cell r="D194">
            <v>0.53</v>
          </cell>
          <cell r="E194">
            <v>0.19400000000000001</v>
          </cell>
          <cell r="F194">
            <v>1</v>
          </cell>
          <cell r="G194">
            <v>5</v>
          </cell>
          <cell r="H194">
            <v>6</v>
          </cell>
        </row>
        <row r="195">
          <cell r="B195">
            <v>194</v>
          </cell>
          <cell r="C195">
            <v>9.0899999999999995E-2</v>
          </cell>
          <cell r="D195">
            <v>0.49</v>
          </cell>
          <cell r="E195">
            <v>0.28360000000000002</v>
          </cell>
          <cell r="F195">
            <v>0</v>
          </cell>
          <cell r="G195">
            <v>10</v>
          </cell>
          <cell r="H195">
            <v>10</v>
          </cell>
        </row>
        <row r="196">
          <cell r="B196">
            <v>195</v>
          </cell>
          <cell r="C196">
            <v>7.5800000000000006E-2</v>
          </cell>
          <cell r="D196">
            <v>0.46</v>
          </cell>
          <cell r="E196">
            <v>0.52239999999999998</v>
          </cell>
          <cell r="F196">
            <v>0</v>
          </cell>
          <cell r="G196">
            <v>19</v>
          </cell>
          <cell r="H196">
            <v>19</v>
          </cell>
        </row>
        <row r="197">
          <cell r="B197">
            <v>196</v>
          </cell>
          <cell r="C197">
            <v>0.1061</v>
          </cell>
          <cell r="D197">
            <v>0.43</v>
          </cell>
          <cell r="E197">
            <v>0.3881</v>
          </cell>
          <cell r="F197">
            <v>0</v>
          </cell>
          <cell r="G197">
            <v>49</v>
          </cell>
          <cell r="H197">
            <v>49</v>
          </cell>
        </row>
        <row r="198">
          <cell r="B198">
            <v>197</v>
          </cell>
          <cell r="C198">
            <v>0.1212</v>
          </cell>
          <cell r="D198">
            <v>0.4</v>
          </cell>
          <cell r="E198">
            <v>0.52239999999999998</v>
          </cell>
          <cell r="F198">
            <v>2</v>
          </cell>
          <cell r="G198">
            <v>47</v>
          </cell>
          <cell r="H198">
            <v>49</v>
          </cell>
        </row>
        <row r="199">
          <cell r="B199">
            <v>198</v>
          </cell>
          <cell r="C199">
            <v>0.13639999999999999</v>
          </cell>
          <cell r="D199">
            <v>0.37</v>
          </cell>
          <cell r="E199">
            <v>0.44779999999999998</v>
          </cell>
          <cell r="F199">
            <v>4</v>
          </cell>
          <cell r="G199">
            <v>79</v>
          </cell>
          <cell r="H199">
            <v>83</v>
          </cell>
        </row>
        <row r="200">
          <cell r="B200">
            <v>199</v>
          </cell>
          <cell r="C200">
            <v>0.16669999999999999</v>
          </cell>
          <cell r="D200">
            <v>0.34</v>
          </cell>
          <cell r="E200">
            <v>0.44779999999999998</v>
          </cell>
          <cell r="F200">
            <v>6</v>
          </cell>
          <cell r="G200">
            <v>69</v>
          </cell>
          <cell r="H200">
            <v>75</v>
          </cell>
        </row>
        <row r="201">
          <cell r="B201">
            <v>200</v>
          </cell>
          <cell r="C201">
            <v>0.18179999999999999</v>
          </cell>
          <cell r="D201">
            <v>0.32</v>
          </cell>
          <cell r="E201">
            <v>0.4627</v>
          </cell>
          <cell r="F201">
            <v>8</v>
          </cell>
          <cell r="G201">
            <v>64</v>
          </cell>
          <cell r="H201">
            <v>72</v>
          </cell>
        </row>
        <row r="202">
          <cell r="B202">
            <v>201</v>
          </cell>
          <cell r="C202">
            <v>0.19700000000000001</v>
          </cell>
          <cell r="D202">
            <v>0.35</v>
          </cell>
          <cell r="E202">
            <v>0.35820000000000002</v>
          </cell>
          <cell r="F202">
            <v>5</v>
          </cell>
          <cell r="G202">
            <v>77</v>
          </cell>
          <cell r="H202">
            <v>82</v>
          </cell>
        </row>
        <row r="203">
          <cell r="B203">
            <v>202</v>
          </cell>
          <cell r="C203">
            <v>0.16669999999999999</v>
          </cell>
          <cell r="D203">
            <v>0.34</v>
          </cell>
          <cell r="E203">
            <v>0.44779999999999998</v>
          </cell>
          <cell r="F203">
            <v>13</v>
          </cell>
          <cell r="G203">
            <v>79</v>
          </cell>
          <cell r="H203">
            <v>92</v>
          </cell>
        </row>
        <row r="204">
          <cell r="B204">
            <v>203</v>
          </cell>
          <cell r="C204">
            <v>0.1515</v>
          </cell>
          <cell r="D204">
            <v>0.37</v>
          </cell>
          <cell r="E204">
            <v>0.3881</v>
          </cell>
          <cell r="F204">
            <v>3</v>
          </cell>
          <cell r="G204">
            <v>59</v>
          </cell>
          <cell r="H204">
            <v>62</v>
          </cell>
        </row>
        <row r="205">
          <cell r="B205">
            <v>204</v>
          </cell>
          <cell r="C205">
            <v>0.13639999999999999</v>
          </cell>
          <cell r="D205">
            <v>0.4</v>
          </cell>
          <cell r="E205">
            <v>0.32840000000000003</v>
          </cell>
          <cell r="F205">
            <v>4</v>
          </cell>
          <cell r="G205">
            <v>44</v>
          </cell>
          <cell r="H205">
            <v>48</v>
          </cell>
        </row>
        <row r="206">
          <cell r="B206">
            <v>205</v>
          </cell>
          <cell r="C206">
            <v>0.13639999999999999</v>
          </cell>
          <cell r="D206">
            <v>0.43</v>
          </cell>
          <cell r="E206">
            <v>0.32840000000000003</v>
          </cell>
          <cell r="F206">
            <v>1</v>
          </cell>
          <cell r="G206">
            <v>40</v>
          </cell>
          <cell r="H206">
            <v>41</v>
          </cell>
        </row>
        <row r="207">
          <cell r="B207">
            <v>206</v>
          </cell>
          <cell r="C207">
            <v>0.1212</v>
          </cell>
          <cell r="D207">
            <v>0.46</v>
          </cell>
          <cell r="E207">
            <v>0.25369999999999998</v>
          </cell>
          <cell r="F207">
            <v>0</v>
          </cell>
          <cell r="G207">
            <v>38</v>
          </cell>
          <cell r="H207">
            <v>38</v>
          </cell>
        </row>
        <row r="208">
          <cell r="B208">
            <v>207</v>
          </cell>
          <cell r="C208">
            <v>0.1061</v>
          </cell>
          <cell r="D208">
            <v>0.46</v>
          </cell>
          <cell r="E208">
            <v>0.41789999999999999</v>
          </cell>
          <cell r="F208">
            <v>1</v>
          </cell>
          <cell r="G208">
            <v>19</v>
          </cell>
          <cell r="H208">
            <v>20</v>
          </cell>
        </row>
        <row r="209">
          <cell r="B209">
            <v>208</v>
          </cell>
          <cell r="C209">
            <v>0.1212</v>
          </cell>
          <cell r="D209">
            <v>0.46</v>
          </cell>
          <cell r="E209">
            <v>0.29849999999999999</v>
          </cell>
          <cell r="F209">
            <v>5</v>
          </cell>
          <cell r="G209">
            <v>10</v>
          </cell>
          <cell r="H209">
            <v>15</v>
          </cell>
        </row>
        <row r="210">
          <cell r="B210">
            <v>209</v>
          </cell>
          <cell r="C210">
            <v>0.13639999999999999</v>
          </cell>
          <cell r="D210">
            <v>0.5</v>
          </cell>
          <cell r="E210">
            <v>0.19400000000000001</v>
          </cell>
          <cell r="F210">
            <v>0</v>
          </cell>
          <cell r="G210">
            <v>6</v>
          </cell>
          <cell r="H210">
            <v>6</v>
          </cell>
        </row>
        <row r="211">
          <cell r="B211">
            <v>210</v>
          </cell>
          <cell r="C211">
            <v>0.1212</v>
          </cell>
          <cell r="D211">
            <v>0.5</v>
          </cell>
          <cell r="E211">
            <v>0.28360000000000002</v>
          </cell>
          <cell r="F211">
            <v>2</v>
          </cell>
          <cell r="G211">
            <v>3</v>
          </cell>
          <cell r="H211">
            <v>5</v>
          </cell>
        </row>
        <row r="212">
          <cell r="B212">
            <v>211</v>
          </cell>
          <cell r="C212">
            <v>0.1212</v>
          </cell>
          <cell r="D212">
            <v>0.5</v>
          </cell>
          <cell r="E212">
            <v>0.28360000000000002</v>
          </cell>
          <cell r="F212">
            <v>1</v>
          </cell>
          <cell r="G212">
            <v>0</v>
          </cell>
          <cell r="H212">
            <v>1</v>
          </cell>
        </row>
        <row r="213">
          <cell r="B213">
            <v>212</v>
          </cell>
          <cell r="C213">
            <v>0.1212</v>
          </cell>
          <cell r="D213">
            <v>0.5</v>
          </cell>
          <cell r="E213">
            <v>0.22389999999999999</v>
          </cell>
          <cell r="F213">
            <v>0</v>
          </cell>
          <cell r="G213">
            <v>3</v>
          </cell>
          <cell r="H213">
            <v>3</v>
          </cell>
        </row>
        <row r="214">
          <cell r="B214">
            <v>213</v>
          </cell>
          <cell r="C214">
            <v>0.1212</v>
          </cell>
          <cell r="D214">
            <v>0.5</v>
          </cell>
          <cell r="E214">
            <v>0.22389999999999999</v>
          </cell>
          <cell r="F214">
            <v>0</v>
          </cell>
          <cell r="G214">
            <v>1</v>
          </cell>
          <cell r="H214">
            <v>1</v>
          </cell>
        </row>
        <row r="215">
          <cell r="B215">
            <v>214</v>
          </cell>
          <cell r="C215">
            <v>0.1212</v>
          </cell>
          <cell r="D215">
            <v>0.54</v>
          </cell>
          <cell r="E215">
            <v>0.1343</v>
          </cell>
          <cell r="F215">
            <v>1</v>
          </cell>
          <cell r="G215">
            <v>2</v>
          </cell>
          <cell r="H215">
            <v>3</v>
          </cell>
        </row>
        <row r="216">
          <cell r="B216">
            <v>215</v>
          </cell>
          <cell r="C216">
            <v>0.1061</v>
          </cell>
          <cell r="D216">
            <v>0.54</v>
          </cell>
          <cell r="E216">
            <v>0.25369999999999998</v>
          </cell>
          <cell r="F216">
            <v>0</v>
          </cell>
          <cell r="G216">
            <v>3</v>
          </cell>
          <cell r="H216">
            <v>3</v>
          </cell>
        </row>
        <row r="217">
          <cell r="B217">
            <v>216</v>
          </cell>
          <cell r="C217">
            <v>0.1212</v>
          </cell>
          <cell r="D217">
            <v>0.5</v>
          </cell>
          <cell r="E217">
            <v>0.28360000000000002</v>
          </cell>
          <cell r="F217">
            <v>0</v>
          </cell>
          <cell r="G217">
            <v>31</v>
          </cell>
          <cell r="H217">
            <v>31</v>
          </cell>
        </row>
        <row r="218">
          <cell r="B218">
            <v>217</v>
          </cell>
          <cell r="C218">
            <v>0.1212</v>
          </cell>
          <cell r="D218">
            <v>0.5</v>
          </cell>
          <cell r="E218">
            <v>0.22389999999999999</v>
          </cell>
          <cell r="F218">
            <v>2</v>
          </cell>
          <cell r="G218">
            <v>75</v>
          </cell>
          <cell r="H218">
            <v>77</v>
          </cell>
        </row>
        <row r="219">
          <cell r="B219">
            <v>218</v>
          </cell>
          <cell r="C219">
            <v>0.1212</v>
          </cell>
          <cell r="D219">
            <v>0.5</v>
          </cell>
          <cell r="E219">
            <v>0.28360000000000002</v>
          </cell>
          <cell r="F219">
            <v>4</v>
          </cell>
          <cell r="G219">
            <v>184</v>
          </cell>
          <cell r="H219">
            <v>188</v>
          </cell>
        </row>
        <row r="220">
          <cell r="B220">
            <v>219</v>
          </cell>
          <cell r="C220">
            <v>0.1212</v>
          </cell>
          <cell r="D220">
            <v>0.5</v>
          </cell>
          <cell r="E220">
            <v>0.25369999999999998</v>
          </cell>
          <cell r="F220">
            <v>2</v>
          </cell>
          <cell r="G220">
            <v>92</v>
          </cell>
          <cell r="H220">
            <v>94</v>
          </cell>
        </row>
        <row r="221">
          <cell r="B221">
            <v>220</v>
          </cell>
          <cell r="C221">
            <v>0.1212</v>
          </cell>
          <cell r="D221">
            <v>0.5</v>
          </cell>
          <cell r="E221">
            <v>0.29849999999999999</v>
          </cell>
          <cell r="F221">
            <v>0</v>
          </cell>
          <cell r="G221">
            <v>31</v>
          </cell>
          <cell r="H221">
            <v>31</v>
          </cell>
        </row>
        <row r="222">
          <cell r="B222">
            <v>221</v>
          </cell>
          <cell r="C222">
            <v>0.13639999999999999</v>
          </cell>
          <cell r="D222">
            <v>0.47</v>
          </cell>
          <cell r="E222">
            <v>0.28360000000000002</v>
          </cell>
          <cell r="F222">
            <v>2</v>
          </cell>
          <cell r="G222">
            <v>28</v>
          </cell>
          <cell r="H222">
            <v>30</v>
          </cell>
        </row>
        <row r="223">
          <cell r="B223">
            <v>222</v>
          </cell>
          <cell r="C223">
            <v>0.18179999999999999</v>
          </cell>
          <cell r="D223">
            <v>0.4</v>
          </cell>
          <cell r="E223">
            <v>0.28360000000000002</v>
          </cell>
          <cell r="F223">
            <v>5</v>
          </cell>
          <cell r="G223">
            <v>47</v>
          </cell>
          <cell r="H223">
            <v>52</v>
          </cell>
        </row>
        <row r="224">
          <cell r="B224">
            <v>223</v>
          </cell>
          <cell r="C224">
            <v>0.18179999999999999</v>
          </cell>
          <cell r="D224">
            <v>0.4</v>
          </cell>
          <cell r="E224">
            <v>0.28360000000000002</v>
          </cell>
          <cell r="F224">
            <v>4</v>
          </cell>
          <cell r="G224">
            <v>50</v>
          </cell>
          <cell r="H224">
            <v>54</v>
          </cell>
        </row>
        <row r="225">
          <cell r="B225">
            <v>224</v>
          </cell>
          <cell r="C225">
            <v>0.19700000000000001</v>
          </cell>
          <cell r="D225">
            <v>0.4</v>
          </cell>
          <cell r="E225">
            <v>0.22389999999999999</v>
          </cell>
          <cell r="F225">
            <v>0</v>
          </cell>
          <cell r="G225">
            <v>47</v>
          </cell>
          <cell r="H225">
            <v>47</v>
          </cell>
        </row>
        <row r="226">
          <cell r="B226">
            <v>225</v>
          </cell>
          <cell r="C226">
            <v>0.19700000000000001</v>
          </cell>
          <cell r="D226">
            <v>0.4</v>
          </cell>
          <cell r="E226">
            <v>0.22389999999999999</v>
          </cell>
          <cell r="F226">
            <v>2</v>
          </cell>
          <cell r="G226">
            <v>43</v>
          </cell>
          <cell r="H226">
            <v>45</v>
          </cell>
        </row>
        <row r="227">
          <cell r="B227">
            <v>226</v>
          </cell>
          <cell r="C227">
            <v>0.21210000000000001</v>
          </cell>
          <cell r="D227">
            <v>0.4</v>
          </cell>
          <cell r="E227">
            <v>0.1343</v>
          </cell>
          <cell r="F227">
            <v>4</v>
          </cell>
          <cell r="G227">
            <v>70</v>
          </cell>
          <cell r="H227">
            <v>74</v>
          </cell>
        </row>
        <row r="228">
          <cell r="B228">
            <v>227</v>
          </cell>
          <cell r="C228">
            <v>0.2273</v>
          </cell>
          <cell r="D228">
            <v>0.4</v>
          </cell>
          <cell r="E228">
            <v>0.1045</v>
          </cell>
          <cell r="F228">
            <v>4</v>
          </cell>
          <cell r="G228">
            <v>174</v>
          </cell>
          <cell r="H228">
            <v>178</v>
          </cell>
        </row>
        <row r="229">
          <cell r="B229">
            <v>228</v>
          </cell>
          <cell r="C229">
            <v>0.19700000000000001</v>
          </cell>
          <cell r="D229">
            <v>0.4</v>
          </cell>
          <cell r="E229">
            <v>0.22389999999999999</v>
          </cell>
          <cell r="F229">
            <v>1</v>
          </cell>
          <cell r="G229">
            <v>154</v>
          </cell>
          <cell r="H229">
            <v>155</v>
          </cell>
        </row>
        <row r="230">
          <cell r="B230">
            <v>229</v>
          </cell>
          <cell r="C230">
            <v>0.16669999999999999</v>
          </cell>
          <cell r="D230">
            <v>0.47</v>
          </cell>
          <cell r="E230">
            <v>0.16420000000000001</v>
          </cell>
          <cell r="F230">
            <v>3</v>
          </cell>
          <cell r="G230">
            <v>92</v>
          </cell>
          <cell r="H230">
            <v>95</v>
          </cell>
        </row>
        <row r="231">
          <cell r="B231">
            <v>230</v>
          </cell>
          <cell r="C231">
            <v>0.16669999999999999</v>
          </cell>
          <cell r="D231">
            <v>0.5</v>
          </cell>
          <cell r="E231">
            <v>0.16420000000000001</v>
          </cell>
          <cell r="F231">
            <v>1</v>
          </cell>
          <cell r="G231">
            <v>73</v>
          </cell>
          <cell r="H231">
            <v>74</v>
          </cell>
        </row>
        <row r="232">
          <cell r="B232">
            <v>231</v>
          </cell>
          <cell r="C232">
            <v>0.13639999999999999</v>
          </cell>
          <cell r="D232">
            <v>0.59</v>
          </cell>
          <cell r="E232">
            <v>0.19400000000000001</v>
          </cell>
          <cell r="F232">
            <v>1</v>
          </cell>
          <cell r="G232">
            <v>37</v>
          </cell>
          <cell r="H232">
            <v>38</v>
          </cell>
        </row>
        <row r="233">
          <cell r="B233">
            <v>232</v>
          </cell>
          <cell r="C233">
            <v>0.1515</v>
          </cell>
          <cell r="D233">
            <v>0.59</v>
          </cell>
          <cell r="E233">
            <v>0.16420000000000001</v>
          </cell>
          <cell r="F233">
            <v>2</v>
          </cell>
          <cell r="G233">
            <v>22</v>
          </cell>
          <cell r="H233">
            <v>24</v>
          </cell>
        </row>
        <row r="234">
          <cell r="B234">
            <v>233</v>
          </cell>
          <cell r="C234">
            <v>0.1515</v>
          </cell>
          <cell r="D234">
            <v>0.59</v>
          </cell>
          <cell r="E234">
            <v>0.16420000000000001</v>
          </cell>
          <cell r="F234">
            <v>0</v>
          </cell>
          <cell r="G234">
            <v>18</v>
          </cell>
          <cell r="H234">
            <v>18</v>
          </cell>
        </row>
        <row r="235">
          <cell r="B235">
            <v>234</v>
          </cell>
          <cell r="C235">
            <v>0.16669999999999999</v>
          </cell>
          <cell r="D235">
            <v>0.59</v>
          </cell>
          <cell r="E235">
            <v>0.1045</v>
          </cell>
          <cell r="F235">
            <v>2</v>
          </cell>
          <cell r="G235">
            <v>10</v>
          </cell>
          <cell r="H235">
            <v>12</v>
          </cell>
        </row>
        <row r="236">
          <cell r="B236">
            <v>235</v>
          </cell>
          <cell r="C236">
            <v>0.1515</v>
          </cell>
          <cell r="D236">
            <v>0.59</v>
          </cell>
          <cell r="E236">
            <v>0.16420000000000001</v>
          </cell>
          <cell r="F236">
            <v>0</v>
          </cell>
          <cell r="G236">
            <v>3</v>
          </cell>
          <cell r="H236">
            <v>3</v>
          </cell>
        </row>
        <row r="237">
          <cell r="B237">
            <v>236</v>
          </cell>
          <cell r="C237">
            <v>0.1515</v>
          </cell>
          <cell r="D237">
            <v>0.55000000000000004</v>
          </cell>
          <cell r="E237">
            <v>0.19400000000000001</v>
          </cell>
          <cell r="F237">
            <v>0</v>
          </cell>
          <cell r="G237">
            <v>3</v>
          </cell>
          <cell r="H237">
            <v>3</v>
          </cell>
        </row>
        <row r="238">
          <cell r="B238">
            <v>237</v>
          </cell>
          <cell r="C238">
            <v>0.18179999999999999</v>
          </cell>
          <cell r="D238">
            <v>0.55000000000000004</v>
          </cell>
          <cell r="E238">
            <v>0.1343</v>
          </cell>
          <cell r="F238">
            <v>0</v>
          </cell>
          <cell r="G238">
            <v>6</v>
          </cell>
          <cell r="H238">
            <v>6</v>
          </cell>
        </row>
        <row r="239">
          <cell r="B239">
            <v>238</v>
          </cell>
          <cell r="C239">
            <v>0.18179999999999999</v>
          </cell>
          <cell r="D239">
            <v>0.55000000000000004</v>
          </cell>
          <cell r="E239">
            <v>0.1343</v>
          </cell>
          <cell r="F239">
            <v>0</v>
          </cell>
          <cell r="G239">
            <v>27</v>
          </cell>
          <cell r="H239">
            <v>27</v>
          </cell>
        </row>
        <row r="240">
          <cell r="B240">
            <v>239</v>
          </cell>
          <cell r="C240">
            <v>0.2273</v>
          </cell>
          <cell r="D240">
            <v>0.55000000000000004</v>
          </cell>
          <cell r="E240">
            <v>0</v>
          </cell>
          <cell r="F240">
            <v>2</v>
          </cell>
          <cell r="G240">
            <v>97</v>
          </cell>
          <cell r="H240">
            <v>99</v>
          </cell>
        </row>
        <row r="241">
          <cell r="B241">
            <v>240</v>
          </cell>
          <cell r="C241">
            <v>0.21210000000000001</v>
          </cell>
          <cell r="D241">
            <v>0.51</v>
          </cell>
          <cell r="E241">
            <v>8.9599999999999999E-2</v>
          </cell>
          <cell r="F241">
            <v>3</v>
          </cell>
          <cell r="G241">
            <v>214</v>
          </cell>
          <cell r="H241">
            <v>217</v>
          </cell>
        </row>
        <row r="242">
          <cell r="B242">
            <v>241</v>
          </cell>
          <cell r="C242">
            <v>0.19700000000000001</v>
          </cell>
          <cell r="D242">
            <v>0.51</v>
          </cell>
          <cell r="E242">
            <v>0.16420000000000001</v>
          </cell>
          <cell r="F242">
            <v>3</v>
          </cell>
          <cell r="G242">
            <v>127</v>
          </cell>
          <cell r="H242">
            <v>130</v>
          </cell>
        </row>
        <row r="243">
          <cell r="B243">
            <v>242</v>
          </cell>
          <cell r="C243">
            <v>0.21210000000000001</v>
          </cell>
          <cell r="D243">
            <v>0.51</v>
          </cell>
          <cell r="E243">
            <v>0.16420000000000001</v>
          </cell>
          <cell r="F243">
            <v>3</v>
          </cell>
          <cell r="G243">
            <v>51</v>
          </cell>
          <cell r="H243">
            <v>54</v>
          </cell>
        </row>
        <row r="244">
          <cell r="B244">
            <v>243</v>
          </cell>
          <cell r="C244">
            <v>0.21210000000000001</v>
          </cell>
          <cell r="D244">
            <v>0.47</v>
          </cell>
          <cell r="E244">
            <v>0.1343</v>
          </cell>
          <cell r="F244">
            <v>4</v>
          </cell>
          <cell r="G244">
            <v>31</v>
          </cell>
          <cell r="H244">
            <v>35</v>
          </cell>
        </row>
        <row r="245">
          <cell r="B245">
            <v>244</v>
          </cell>
          <cell r="C245">
            <v>0.2273</v>
          </cell>
          <cell r="D245">
            <v>0.51</v>
          </cell>
          <cell r="E245">
            <v>0.1045</v>
          </cell>
          <cell r="F245">
            <v>2</v>
          </cell>
          <cell r="G245">
            <v>55</v>
          </cell>
          <cell r="H245">
            <v>57</v>
          </cell>
        </row>
        <row r="246">
          <cell r="B246">
            <v>245</v>
          </cell>
          <cell r="C246">
            <v>0.2273</v>
          </cell>
          <cell r="D246">
            <v>0.59</v>
          </cell>
          <cell r="E246">
            <v>8.9599999999999999E-2</v>
          </cell>
          <cell r="F246">
            <v>6</v>
          </cell>
          <cell r="G246">
            <v>46</v>
          </cell>
          <cell r="H246">
            <v>52</v>
          </cell>
        </row>
        <row r="247">
          <cell r="B247">
            <v>246</v>
          </cell>
          <cell r="C247">
            <v>0.2273</v>
          </cell>
          <cell r="D247">
            <v>0.59</v>
          </cell>
          <cell r="E247">
            <v>8.9599999999999999E-2</v>
          </cell>
          <cell r="F247">
            <v>3</v>
          </cell>
          <cell r="G247">
            <v>60</v>
          </cell>
          <cell r="H247">
            <v>63</v>
          </cell>
        </row>
        <row r="248">
          <cell r="B248">
            <v>247</v>
          </cell>
          <cell r="C248">
            <v>0.19700000000000001</v>
          </cell>
          <cell r="D248">
            <v>0.8</v>
          </cell>
          <cell r="E248">
            <v>8.9599999999999999E-2</v>
          </cell>
          <cell r="F248">
            <v>2</v>
          </cell>
          <cell r="G248">
            <v>45</v>
          </cell>
          <cell r="H248">
            <v>47</v>
          </cell>
        </row>
        <row r="249">
          <cell r="B249">
            <v>248</v>
          </cell>
          <cell r="C249">
            <v>0.1515</v>
          </cell>
          <cell r="D249">
            <v>0.86</v>
          </cell>
          <cell r="E249">
            <v>0.22389999999999999</v>
          </cell>
          <cell r="F249">
            <v>4</v>
          </cell>
          <cell r="G249">
            <v>72</v>
          </cell>
          <cell r="H249">
            <v>76</v>
          </cell>
        </row>
        <row r="250">
          <cell r="B250">
            <v>249</v>
          </cell>
          <cell r="C250">
            <v>0.1515</v>
          </cell>
          <cell r="D250">
            <v>0.86</v>
          </cell>
          <cell r="E250">
            <v>0.22389999999999999</v>
          </cell>
          <cell r="F250">
            <v>6</v>
          </cell>
          <cell r="G250">
            <v>130</v>
          </cell>
          <cell r="H250">
            <v>136</v>
          </cell>
        </row>
        <row r="251">
          <cell r="B251">
            <v>250</v>
          </cell>
          <cell r="C251">
            <v>0.18179999999999999</v>
          </cell>
          <cell r="D251">
            <v>0.93</v>
          </cell>
          <cell r="E251">
            <v>0.1045</v>
          </cell>
          <cell r="F251">
            <v>1</v>
          </cell>
          <cell r="G251">
            <v>94</v>
          </cell>
          <cell r="H251">
            <v>95</v>
          </cell>
        </row>
        <row r="252">
          <cell r="B252">
            <v>251</v>
          </cell>
          <cell r="C252">
            <v>0.2273</v>
          </cell>
          <cell r="D252">
            <v>0.93</v>
          </cell>
          <cell r="E252">
            <v>0</v>
          </cell>
          <cell r="F252">
            <v>0</v>
          </cell>
          <cell r="G252">
            <v>51</v>
          </cell>
          <cell r="H252">
            <v>51</v>
          </cell>
        </row>
        <row r="253">
          <cell r="B253">
            <v>252</v>
          </cell>
          <cell r="C253">
            <v>0.1515</v>
          </cell>
          <cell r="D253">
            <v>0.93</v>
          </cell>
          <cell r="E253">
            <v>0.19400000000000001</v>
          </cell>
          <cell r="F253">
            <v>0</v>
          </cell>
          <cell r="G253">
            <v>32</v>
          </cell>
          <cell r="H253">
            <v>32</v>
          </cell>
        </row>
        <row r="254">
          <cell r="B254">
            <v>253</v>
          </cell>
          <cell r="C254">
            <v>0.19700000000000001</v>
          </cell>
          <cell r="D254">
            <v>0.86</v>
          </cell>
          <cell r="E254">
            <v>8.9599999999999999E-2</v>
          </cell>
          <cell r="F254">
            <v>0</v>
          </cell>
          <cell r="G254">
            <v>20</v>
          </cell>
          <cell r="H254">
            <v>20</v>
          </cell>
        </row>
        <row r="255">
          <cell r="B255">
            <v>254</v>
          </cell>
          <cell r="C255">
            <v>0.18179999999999999</v>
          </cell>
          <cell r="D255">
            <v>0.93</v>
          </cell>
          <cell r="E255">
            <v>0.1045</v>
          </cell>
          <cell r="F255">
            <v>1</v>
          </cell>
          <cell r="G255">
            <v>28</v>
          </cell>
          <cell r="H255">
            <v>29</v>
          </cell>
        </row>
        <row r="256">
          <cell r="B256">
            <v>255</v>
          </cell>
          <cell r="C256">
            <v>0.19700000000000001</v>
          </cell>
          <cell r="D256">
            <v>0.93</v>
          </cell>
          <cell r="E256">
            <v>8.9599999999999999E-2</v>
          </cell>
          <cell r="F256">
            <v>1</v>
          </cell>
          <cell r="G256">
            <v>18</v>
          </cell>
          <cell r="H256">
            <v>19</v>
          </cell>
        </row>
        <row r="257">
          <cell r="B257">
            <v>256</v>
          </cell>
          <cell r="C257">
            <v>0.19700000000000001</v>
          </cell>
          <cell r="D257">
            <v>0.86</v>
          </cell>
          <cell r="E257">
            <v>8.9599999999999999E-2</v>
          </cell>
          <cell r="F257">
            <v>0</v>
          </cell>
          <cell r="G257">
            <v>7</v>
          </cell>
          <cell r="H257">
            <v>7</v>
          </cell>
        </row>
        <row r="258">
          <cell r="B258">
            <v>257</v>
          </cell>
          <cell r="C258">
            <v>0.18179999999999999</v>
          </cell>
          <cell r="D258">
            <v>0.86</v>
          </cell>
          <cell r="E258">
            <v>0.1045</v>
          </cell>
          <cell r="F258">
            <v>0</v>
          </cell>
          <cell r="G258">
            <v>6</v>
          </cell>
          <cell r="H258">
            <v>6</v>
          </cell>
        </row>
        <row r="259">
          <cell r="B259">
            <v>258</v>
          </cell>
          <cell r="C259">
            <v>0.1515</v>
          </cell>
          <cell r="D259">
            <v>0.86</v>
          </cell>
          <cell r="E259">
            <v>0.1343</v>
          </cell>
          <cell r="F259">
            <v>0</v>
          </cell>
          <cell r="G259">
            <v>1</v>
          </cell>
          <cell r="H259">
            <v>1</v>
          </cell>
        </row>
        <row r="260">
          <cell r="B260">
            <v>259</v>
          </cell>
          <cell r="C260">
            <v>0.1515</v>
          </cell>
          <cell r="D260">
            <v>0.86</v>
          </cell>
          <cell r="E260">
            <v>0.16420000000000001</v>
          </cell>
          <cell r="F260">
            <v>0</v>
          </cell>
          <cell r="G260">
            <v>5</v>
          </cell>
          <cell r="H260">
            <v>5</v>
          </cell>
        </row>
        <row r="261">
          <cell r="B261">
            <v>260</v>
          </cell>
          <cell r="C261">
            <v>0.1515</v>
          </cell>
          <cell r="D261">
            <v>0.93</v>
          </cell>
          <cell r="E261">
            <v>0.1343</v>
          </cell>
          <cell r="F261">
            <v>0</v>
          </cell>
          <cell r="G261">
            <v>16</v>
          </cell>
          <cell r="H261">
            <v>16</v>
          </cell>
        </row>
        <row r="262">
          <cell r="B262">
            <v>261</v>
          </cell>
          <cell r="C262">
            <v>0.1515</v>
          </cell>
          <cell r="D262">
            <v>0.69</v>
          </cell>
          <cell r="E262">
            <v>0.1343</v>
          </cell>
          <cell r="F262">
            <v>0</v>
          </cell>
          <cell r="G262">
            <v>54</v>
          </cell>
          <cell r="H262">
            <v>54</v>
          </cell>
        </row>
        <row r="263">
          <cell r="B263">
            <v>262</v>
          </cell>
          <cell r="C263">
            <v>0.16669999999999999</v>
          </cell>
          <cell r="D263">
            <v>0.59</v>
          </cell>
          <cell r="E263">
            <v>0.16420000000000001</v>
          </cell>
          <cell r="F263">
            <v>3</v>
          </cell>
          <cell r="G263">
            <v>125</v>
          </cell>
          <cell r="H263">
            <v>128</v>
          </cell>
        </row>
        <row r="264">
          <cell r="B264">
            <v>263</v>
          </cell>
          <cell r="C264">
            <v>0.13639999999999999</v>
          </cell>
          <cell r="D264">
            <v>0.59</v>
          </cell>
          <cell r="E264">
            <v>0.32840000000000003</v>
          </cell>
          <cell r="F264">
            <v>3</v>
          </cell>
          <cell r="G264">
            <v>78</v>
          </cell>
          <cell r="H264">
            <v>81</v>
          </cell>
        </row>
        <row r="265">
          <cell r="B265">
            <v>264</v>
          </cell>
          <cell r="C265">
            <v>0.18179999999999999</v>
          </cell>
          <cell r="D265">
            <v>0.55000000000000004</v>
          </cell>
          <cell r="E265">
            <v>0.22389999999999999</v>
          </cell>
          <cell r="F265">
            <v>0</v>
          </cell>
          <cell r="G265">
            <v>39</v>
          </cell>
          <cell r="H265">
            <v>39</v>
          </cell>
        </row>
        <row r="266">
          <cell r="B266">
            <v>265</v>
          </cell>
          <cell r="C266">
            <v>0.18179999999999999</v>
          </cell>
          <cell r="D266">
            <v>0.51</v>
          </cell>
          <cell r="E266">
            <v>0.3881</v>
          </cell>
          <cell r="F266">
            <v>3</v>
          </cell>
          <cell r="G266">
            <v>32</v>
          </cell>
          <cell r="H266">
            <v>35</v>
          </cell>
        </row>
        <row r="267">
          <cell r="B267">
            <v>266</v>
          </cell>
          <cell r="C267">
            <v>0.1515</v>
          </cell>
          <cell r="D267">
            <v>0.47</v>
          </cell>
          <cell r="E267">
            <v>0.58209999999999995</v>
          </cell>
          <cell r="F267">
            <v>3</v>
          </cell>
          <cell r="G267">
            <v>52</v>
          </cell>
          <cell r="H267">
            <v>55</v>
          </cell>
        </row>
        <row r="268">
          <cell r="B268">
            <v>267</v>
          </cell>
          <cell r="C268">
            <v>0.19700000000000001</v>
          </cell>
          <cell r="D268">
            <v>0.44</v>
          </cell>
          <cell r="E268">
            <v>0.35820000000000002</v>
          </cell>
          <cell r="F268">
            <v>0</v>
          </cell>
          <cell r="G268">
            <v>49</v>
          </cell>
          <cell r="H268">
            <v>49</v>
          </cell>
        </row>
        <row r="269">
          <cell r="B269">
            <v>268</v>
          </cell>
          <cell r="C269">
            <v>0.18179999999999999</v>
          </cell>
          <cell r="D269">
            <v>0.47</v>
          </cell>
          <cell r="E269">
            <v>0.32840000000000003</v>
          </cell>
          <cell r="F269">
            <v>0</v>
          </cell>
          <cell r="G269">
            <v>44</v>
          </cell>
          <cell r="H269">
            <v>44</v>
          </cell>
        </row>
        <row r="270">
          <cell r="B270">
            <v>269</v>
          </cell>
          <cell r="C270">
            <v>0.16669999999999999</v>
          </cell>
          <cell r="D270">
            <v>0.47</v>
          </cell>
          <cell r="E270">
            <v>0.41789999999999999</v>
          </cell>
          <cell r="F270">
            <v>1</v>
          </cell>
          <cell r="G270">
            <v>48</v>
          </cell>
          <cell r="H270">
            <v>49</v>
          </cell>
        </row>
        <row r="271">
          <cell r="B271">
            <v>270</v>
          </cell>
          <cell r="C271">
            <v>0.19700000000000001</v>
          </cell>
          <cell r="D271">
            <v>0.44</v>
          </cell>
          <cell r="E271">
            <v>0.32840000000000003</v>
          </cell>
          <cell r="F271">
            <v>5</v>
          </cell>
          <cell r="G271">
            <v>63</v>
          </cell>
          <cell r="H271">
            <v>68</v>
          </cell>
        </row>
        <row r="272">
          <cell r="B272">
            <v>271</v>
          </cell>
          <cell r="C272">
            <v>0.18179999999999999</v>
          </cell>
          <cell r="D272">
            <v>0.47</v>
          </cell>
          <cell r="E272">
            <v>0.35820000000000002</v>
          </cell>
          <cell r="F272">
            <v>0</v>
          </cell>
          <cell r="G272">
            <v>139</v>
          </cell>
          <cell r="H272">
            <v>139</v>
          </cell>
        </row>
        <row r="273">
          <cell r="B273">
            <v>272</v>
          </cell>
          <cell r="C273">
            <v>0.1515</v>
          </cell>
          <cell r="D273">
            <v>0.47</v>
          </cell>
          <cell r="E273">
            <v>0.52239999999999998</v>
          </cell>
          <cell r="F273">
            <v>2</v>
          </cell>
          <cell r="G273">
            <v>135</v>
          </cell>
          <cell r="H273">
            <v>137</v>
          </cell>
        </row>
        <row r="274">
          <cell r="B274">
            <v>273</v>
          </cell>
          <cell r="C274">
            <v>0.1515</v>
          </cell>
          <cell r="D274">
            <v>0.47</v>
          </cell>
          <cell r="E274">
            <v>0.41789999999999999</v>
          </cell>
          <cell r="F274">
            <v>1</v>
          </cell>
          <cell r="G274">
            <v>82</v>
          </cell>
          <cell r="H274">
            <v>83</v>
          </cell>
        </row>
        <row r="275">
          <cell r="B275">
            <v>274</v>
          </cell>
          <cell r="C275">
            <v>0.13639999999999999</v>
          </cell>
          <cell r="D275">
            <v>0.5</v>
          </cell>
          <cell r="E275">
            <v>0.32840000000000003</v>
          </cell>
          <cell r="F275">
            <v>2</v>
          </cell>
          <cell r="G275">
            <v>54</v>
          </cell>
          <cell r="H275">
            <v>56</v>
          </cell>
        </row>
        <row r="276">
          <cell r="B276">
            <v>275</v>
          </cell>
          <cell r="C276">
            <v>0.13639999999999999</v>
          </cell>
          <cell r="D276">
            <v>0.55000000000000004</v>
          </cell>
          <cell r="E276">
            <v>0.32840000000000003</v>
          </cell>
          <cell r="F276">
            <v>0</v>
          </cell>
          <cell r="G276">
            <v>57</v>
          </cell>
          <cell r="H276">
            <v>57</v>
          </cell>
        </row>
        <row r="277">
          <cell r="B277">
            <v>276</v>
          </cell>
          <cell r="C277">
            <v>0.1212</v>
          </cell>
          <cell r="D277">
            <v>0.55000000000000004</v>
          </cell>
          <cell r="E277">
            <v>0.44779999999999998</v>
          </cell>
          <cell r="F277">
            <v>1</v>
          </cell>
          <cell r="G277">
            <v>32</v>
          </cell>
          <cell r="H277">
            <v>33</v>
          </cell>
        </row>
        <row r="278">
          <cell r="B278">
            <v>277</v>
          </cell>
          <cell r="C278">
            <v>0.1061</v>
          </cell>
          <cell r="D278">
            <v>0.59</v>
          </cell>
          <cell r="E278">
            <v>0.41789999999999999</v>
          </cell>
          <cell r="F278">
            <v>1</v>
          </cell>
          <cell r="G278">
            <v>19</v>
          </cell>
          <cell r="H278">
            <v>20</v>
          </cell>
        </row>
        <row r="279">
          <cell r="B279">
            <v>278</v>
          </cell>
          <cell r="C279">
            <v>0.1212</v>
          </cell>
          <cell r="D279">
            <v>0.59</v>
          </cell>
          <cell r="E279">
            <v>0.28360000000000002</v>
          </cell>
          <cell r="F279">
            <v>1</v>
          </cell>
          <cell r="G279">
            <v>6</v>
          </cell>
          <cell r="H279">
            <v>7</v>
          </cell>
        </row>
        <row r="280">
          <cell r="B280">
            <v>279</v>
          </cell>
          <cell r="C280">
            <v>0.1212</v>
          </cell>
          <cell r="D280">
            <v>0.5</v>
          </cell>
          <cell r="E280">
            <v>0.28360000000000002</v>
          </cell>
          <cell r="F280">
            <v>0</v>
          </cell>
          <cell r="G280">
            <v>2</v>
          </cell>
          <cell r="H280">
            <v>2</v>
          </cell>
        </row>
        <row r="281">
          <cell r="B281">
            <v>280</v>
          </cell>
          <cell r="C281">
            <v>0.1212</v>
          </cell>
          <cell r="D281">
            <v>0.5</v>
          </cell>
          <cell r="E281">
            <v>0.35820000000000002</v>
          </cell>
          <cell r="F281">
            <v>0</v>
          </cell>
          <cell r="G281">
            <v>2</v>
          </cell>
          <cell r="H281">
            <v>2</v>
          </cell>
        </row>
        <row r="282">
          <cell r="B282">
            <v>281</v>
          </cell>
          <cell r="C282">
            <v>0.1212</v>
          </cell>
          <cell r="D282">
            <v>0.5</v>
          </cell>
          <cell r="E282">
            <v>0.32840000000000003</v>
          </cell>
          <cell r="F282">
            <v>0</v>
          </cell>
          <cell r="G282">
            <v>3</v>
          </cell>
          <cell r="H282">
            <v>3</v>
          </cell>
        </row>
        <row r="283">
          <cell r="B283">
            <v>282</v>
          </cell>
          <cell r="C283">
            <v>0.1212</v>
          </cell>
          <cell r="D283">
            <v>0.5</v>
          </cell>
          <cell r="E283">
            <v>0.25369999999999998</v>
          </cell>
          <cell r="F283">
            <v>0</v>
          </cell>
          <cell r="G283">
            <v>4</v>
          </cell>
          <cell r="H283">
            <v>4</v>
          </cell>
        </row>
        <row r="284">
          <cell r="B284">
            <v>283</v>
          </cell>
          <cell r="C284">
            <v>0.1212</v>
          </cell>
          <cell r="D284">
            <v>0.5</v>
          </cell>
          <cell r="E284">
            <v>0.29849999999999999</v>
          </cell>
          <cell r="F284">
            <v>0</v>
          </cell>
          <cell r="G284">
            <v>3</v>
          </cell>
          <cell r="H284">
            <v>3</v>
          </cell>
        </row>
        <row r="285">
          <cell r="B285">
            <v>284</v>
          </cell>
          <cell r="C285">
            <v>0.1515</v>
          </cell>
          <cell r="D285">
            <v>0.54</v>
          </cell>
          <cell r="E285">
            <v>0.1343</v>
          </cell>
          <cell r="F285">
            <v>0</v>
          </cell>
          <cell r="G285">
            <v>28</v>
          </cell>
          <cell r="H285">
            <v>28</v>
          </cell>
        </row>
        <row r="286">
          <cell r="B286">
            <v>285</v>
          </cell>
          <cell r="C286">
            <v>0.1515</v>
          </cell>
          <cell r="D286">
            <v>0.54</v>
          </cell>
          <cell r="E286">
            <v>0.1343</v>
          </cell>
          <cell r="F286">
            <v>0</v>
          </cell>
          <cell r="G286">
            <v>72</v>
          </cell>
          <cell r="H286">
            <v>72</v>
          </cell>
        </row>
        <row r="287">
          <cell r="B287">
            <v>286</v>
          </cell>
          <cell r="C287">
            <v>0.13639999999999999</v>
          </cell>
          <cell r="D287">
            <v>0.5</v>
          </cell>
          <cell r="E287">
            <v>0.19400000000000001</v>
          </cell>
          <cell r="F287">
            <v>5</v>
          </cell>
          <cell r="G287">
            <v>197</v>
          </cell>
          <cell r="H287">
            <v>202</v>
          </cell>
        </row>
        <row r="288">
          <cell r="B288">
            <v>287</v>
          </cell>
          <cell r="C288">
            <v>0.1212</v>
          </cell>
          <cell r="D288">
            <v>0.5</v>
          </cell>
          <cell r="E288">
            <v>0.32840000000000003</v>
          </cell>
          <cell r="F288">
            <v>2</v>
          </cell>
          <cell r="G288">
            <v>137</v>
          </cell>
          <cell r="H288">
            <v>139</v>
          </cell>
        </row>
        <row r="289">
          <cell r="B289">
            <v>288</v>
          </cell>
          <cell r="C289">
            <v>0.13639999999999999</v>
          </cell>
          <cell r="D289">
            <v>0.5</v>
          </cell>
          <cell r="E289">
            <v>0.35820000000000002</v>
          </cell>
          <cell r="F289">
            <v>2</v>
          </cell>
          <cell r="G289">
            <v>36</v>
          </cell>
          <cell r="H289">
            <v>38</v>
          </cell>
        </row>
        <row r="290">
          <cell r="B290">
            <v>289</v>
          </cell>
          <cell r="C290">
            <v>0.16669999999999999</v>
          </cell>
          <cell r="D290">
            <v>0.44</v>
          </cell>
          <cell r="E290">
            <v>0.44779999999999998</v>
          </cell>
          <cell r="F290">
            <v>4</v>
          </cell>
          <cell r="G290">
            <v>33</v>
          </cell>
          <cell r="H290">
            <v>37</v>
          </cell>
        </row>
        <row r="291">
          <cell r="B291">
            <v>290</v>
          </cell>
          <cell r="C291">
            <v>0.16669999999999999</v>
          </cell>
          <cell r="D291">
            <v>0.44</v>
          </cell>
          <cell r="E291">
            <v>0.41789999999999999</v>
          </cell>
          <cell r="F291">
            <v>3</v>
          </cell>
          <cell r="G291">
            <v>49</v>
          </cell>
          <cell r="H291">
            <v>52</v>
          </cell>
        </row>
        <row r="292">
          <cell r="B292">
            <v>291</v>
          </cell>
          <cell r="C292">
            <v>0.19700000000000001</v>
          </cell>
          <cell r="D292">
            <v>0.41</v>
          </cell>
          <cell r="E292">
            <v>0.44779999999999998</v>
          </cell>
          <cell r="F292">
            <v>2</v>
          </cell>
          <cell r="G292">
            <v>81</v>
          </cell>
          <cell r="H292">
            <v>83</v>
          </cell>
        </row>
        <row r="293">
          <cell r="B293">
            <v>292</v>
          </cell>
          <cell r="C293">
            <v>0.19700000000000001</v>
          </cell>
          <cell r="D293">
            <v>0.41</v>
          </cell>
          <cell r="E293">
            <v>0.3881</v>
          </cell>
          <cell r="F293">
            <v>3</v>
          </cell>
          <cell r="G293">
            <v>39</v>
          </cell>
          <cell r="H293">
            <v>42</v>
          </cell>
        </row>
        <row r="294">
          <cell r="B294">
            <v>293</v>
          </cell>
          <cell r="C294">
            <v>0.21210000000000001</v>
          </cell>
          <cell r="D294">
            <v>0.38</v>
          </cell>
          <cell r="E294">
            <v>0.29849999999999999</v>
          </cell>
          <cell r="F294">
            <v>5</v>
          </cell>
          <cell r="G294">
            <v>55</v>
          </cell>
          <cell r="H294">
            <v>60</v>
          </cell>
        </row>
        <row r="295">
          <cell r="B295">
            <v>294</v>
          </cell>
          <cell r="C295">
            <v>0.21210000000000001</v>
          </cell>
          <cell r="D295">
            <v>0.38</v>
          </cell>
          <cell r="E295">
            <v>0.35820000000000002</v>
          </cell>
          <cell r="F295">
            <v>2</v>
          </cell>
          <cell r="G295">
            <v>76</v>
          </cell>
          <cell r="H295">
            <v>78</v>
          </cell>
        </row>
        <row r="296">
          <cell r="B296">
            <v>295</v>
          </cell>
          <cell r="C296">
            <v>0.18179999999999999</v>
          </cell>
          <cell r="D296">
            <v>0.4</v>
          </cell>
          <cell r="E296">
            <v>0.28360000000000002</v>
          </cell>
          <cell r="F296">
            <v>4</v>
          </cell>
          <cell r="G296">
            <v>158</v>
          </cell>
          <cell r="H296">
            <v>162</v>
          </cell>
        </row>
        <row r="297">
          <cell r="B297">
            <v>296</v>
          </cell>
          <cell r="C297">
            <v>0.18179999999999999</v>
          </cell>
          <cell r="D297">
            <v>0.4</v>
          </cell>
          <cell r="E297">
            <v>0.32840000000000003</v>
          </cell>
          <cell r="F297">
            <v>3</v>
          </cell>
          <cell r="G297">
            <v>141</v>
          </cell>
          <cell r="H297">
            <v>144</v>
          </cell>
        </row>
        <row r="298">
          <cell r="B298">
            <v>297</v>
          </cell>
          <cell r="C298">
            <v>0.1515</v>
          </cell>
          <cell r="D298">
            <v>0.47</v>
          </cell>
          <cell r="E298">
            <v>0.25369999999999998</v>
          </cell>
          <cell r="F298">
            <v>1</v>
          </cell>
          <cell r="G298">
            <v>98</v>
          </cell>
          <cell r="H298">
            <v>99</v>
          </cell>
        </row>
        <row r="299">
          <cell r="B299">
            <v>298</v>
          </cell>
          <cell r="C299">
            <v>0.1515</v>
          </cell>
          <cell r="D299">
            <v>0.47</v>
          </cell>
          <cell r="E299">
            <v>0.22389999999999999</v>
          </cell>
          <cell r="F299">
            <v>0</v>
          </cell>
          <cell r="G299">
            <v>64</v>
          </cell>
          <cell r="H299">
            <v>64</v>
          </cell>
        </row>
        <row r="300">
          <cell r="B300">
            <v>299</v>
          </cell>
          <cell r="C300">
            <v>0.1212</v>
          </cell>
          <cell r="D300">
            <v>0.46</v>
          </cell>
          <cell r="E300">
            <v>0.29849999999999999</v>
          </cell>
          <cell r="F300">
            <v>0</v>
          </cell>
          <cell r="G300">
            <v>40</v>
          </cell>
          <cell r="H300">
            <v>40</v>
          </cell>
        </row>
        <row r="301">
          <cell r="B301">
            <v>300</v>
          </cell>
          <cell r="C301">
            <v>0.1212</v>
          </cell>
          <cell r="D301">
            <v>0.46</v>
          </cell>
          <cell r="E301">
            <v>0.32840000000000003</v>
          </cell>
          <cell r="F301">
            <v>0</v>
          </cell>
          <cell r="G301">
            <v>30</v>
          </cell>
          <cell r="H301">
            <v>30</v>
          </cell>
        </row>
        <row r="302">
          <cell r="B302">
            <v>301</v>
          </cell>
          <cell r="C302">
            <v>0.13639999999999999</v>
          </cell>
          <cell r="D302">
            <v>0.5</v>
          </cell>
          <cell r="E302">
            <v>0.19400000000000001</v>
          </cell>
          <cell r="F302">
            <v>1</v>
          </cell>
          <cell r="G302">
            <v>14</v>
          </cell>
          <cell r="H302">
            <v>15</v>
          </cell>
        </row>
        <row r="303">
          <cell r="B303">
            <v>302</v>
          </cell>
          <cell r="C303">
            <v>0.13639999999999999</v>
          </cell>
          <cell r="D303">
            <v>0.5</v>
          </cell>
          <cell r="E303">
            <v>0.19400000000000001</v>
          </cell>
          <cell r="F303">
            <v>0</v>
          </cell>
          <cell r="G303">
            <v>14</v>
          </cell>
          <cell r="H303">
            <v>14</v>
          </cell>
        </row>
        <row r="304">
          <cell r="B304">
            <v>303</v>
          </cell>
          <cell r="C304">
            <v>0.1212</v>
          </cell>
          <cell r="D304">
            <v>0.54</v>
          </cell>
          <cell r="E304">
            <v>0.16420000000000001</v>
          </cell>
          <cell r="F304">
            <v>0</v>
          </cell>
          <cell r="G304">
            <v>5</v>
          </cell>
          <cell r="H304">
            <v>5</v>
          </cell>
        </row>
        <row r="305">
          <cell r="B305">
            <v>304</v>
          </cell>
          <cell r="C305">
            <v>0.1212</v>
          </cell>
          <cell r="D305">
            <v>0.54</v>
          </cell>
          <cell r="E305">
            <v>0.1343</v>
          </cell>
          <cell r="F305">
            <v>0</v>
          </cell>
          <cell r="G305">
            <v>1</v>
          </cell>
          <cell r="H305">
            <v>1</v>
          </cell>
        </row>
        <row r="306">
          <cell r="B306">
            <v>305</v>
          </cell>
          <cell r="C306">
            <v>0.13639999999999999</v>
          </cell>
          <cell r="D306">
            <v>0.54</v>
          </cell>
          <cell r="E306">
            <v>0.1045</v>
          </cell>
          <cell r="F306">
            <v>0</v>
          </cell>
          <cell r="G306">
            <v>1</v>
          </cell>
          <cell r="H306">
            <v>1</v>
          </cell>
        </row>
        <row r="307">
          <cell r="B307">
            <v>306</v>
          </cell>
          <cell r="C307">
            <v>0.13639999999999999</v>
          </cell>
          <cell r="D307">
            <v>0.54</v>
          </cell>
          <cell r="E307">
            <v>8.9599999999999999E-2</v>
          </cell>
          <cell r="F307">
            <v>0</v>
          </cell>
          <cell r="G307">
            <v>8</v>
          </cell>
          <cell r="H307">
            <v>8</v>
          </cell>
        </row>
        <row r="308">
          <cell r="B308">
            <v>307</v>
          </cell>
          <cell r="C308">
            <v>0.18179999999999999</v>
          </cell>
          <cell r="D308">
            <v>0.54</v>
          </cell>
          <cell r="E308">
            <v>0</v>
          </cell>
          <cell r="F308">
            <v>0</v>
          </cell>
          <cell r="G308">
            <v>17</v>
          </cell>
          <cell r="H308">
            <v>17</v>
          </cell>
        </row>
        <row r="309">
          <cell r="B309">
            <v>308</v>
          </cell>
          <cell r="C309">
            <v>0.1212</v>
          </cell>
          <cell r="D309">
            <v>0.74</v>
          </cell>
          <cell r="E309">
            <v>0.16420000000000001</v>
          </cell>
          <cell r="F309">
            <v>0</v>
          </cell>
          <cell r="G309">
            <v>70</v>
          </cell>
          <cell r="H309">
            <v>70</v>
          </cell>
        </row>
        <row r="310">
          <cell r="B310">
            <v>309</v>
          </cell>
          <cell r="C310">
            <v>0.16669999999999999</v>
          </cell>
          <cell r="D310">
            <v>0.68</v>
          </cell>
          <cell r="E310">
            <v>0</v>
          </cell>
          <cell r="F310">
            <v>2</v>
          </cell>
          <cell r="G310">
            <v>156</v>
          </cell>
          <cell r="H310">
            <v>158</v>
          </cell>
        </row>
        <row r="311">
          <cell r="B311">
            <v>310</v>
          </cell>
          <cell r="C311">
            <v>0.1515</v>
          </cell>
          <cell r="D311">
            <v>0.69</v>
          </cell>
          <cell r="E311">
            <v>0.1343</v>
          </cell>
          <cell r="F311">
            <v>0</v>
          </cell>
          <cell r="G311">
            <v>117</v>
          </cell>
          <cell r="H311">
            <v>117</v>
          </cell>
        </row>
        <row r="312">
          <cell r="B312">
            <v>311</v>
          </cell>
          <cell r="C312">
            <v>0.18179999999999999</v>
          </cell>
          <cell r="D312">
            <v>0.55000000000000004</v>
          </cell>
          <cell r="E312">
            <v>0.19400000000000001</v>
          </cell>
          <cell r="F312">
            <v>4</v>
          </cell>
          <cell r="G312">
            <v>40</v>
          </cell>
          <cell r="H312">
            <v>44</v>
          </cell>
        </row>
        <row r="313">
          <cell r="B313">
            <v>312</v>
          </cell>
          <cell r="C313">
            <v>0.16669999999999999</v>
          </cell>
          <cell r="D313">
            <v>0.51</v>
          </cell>
          <cell r="E313">
            <v>0.28360000000000002</v>
          </cell>
          <cell r="F313">
            <v>6</v>
          </cell>
          <cell r="G313">
            <v>47</v>
          </cell>
          <cell r="H313">
            <v>53</v>
          </cell>
        </row>
        <row r="314">
          <cell r="B314">
            <v>313</v>
          </cell>
          <cell r="C314">
            <v>0.19700000000000001</v>
          </cell>
          <cell r="D314">
            <v>0.44</v>
          </cell>
          <cell r="E314">
            <v>0.25369999999999998</v>
          </cell>
          <cell r="F314">
            <v>2</v>
          </cell>
          <cell r="G314">
            <v>59</v>
          </cell>
          <cell r="H314">
            <v>61</v>
          </cell>
        </row>
        <row r="315">
          <cell r="B315">
            <v>314</v>
          </cell>
          <cell r="C315">
            <v>0.19700000000000001</v>
          </cell>
          <cell r="D315">
            <v>0.37</v>
          </cell>
          <cell r="E315">
            <v>0.3881</v>
          </cell>
          <cell r="F315">
            <v>4</v>
          </cell>
          <cell r="G315">
            <v>73</v>
          </cell>
          <cell r="H315">
            <v>77</v>
          </cell>
        </row>
        <row r="316">
          <cell r="B316">
            <v>315</v>
          </cell>
          <cell r="C316">
            <v>0.21210000000000001</v>
          </cell>
          <cell r="D316">
            <v>0.41</v>
          </cell>
          <cell r="E316">
            <v>0.28360000000000002</v>
          </cell>
          <cell r="F316">
            <v>5</v>
          </cell>
          <cell r="G316">
            <v>59</v>
          </cell>
          <cell r="H316">
            <v>64</v>
          </cell>
        </row>
        <row r="317">
          <cell r="B317">
            <v>316</v>
          </cell>
          <cell r="C317">
            <v>0.2424</v>
          </cell>
          <cell r="D317">
            <v>0.38</v>
          </cell>
          <cell r="E317">
            <v>0.16420000000000001</v>
          </cell>
          <cell r="F317">
            <v>9</v>
          </cell>
          <cell r="G317">
            <v>59</v>
          </cell>
          <cell r="H317">
            <v>68</v>
          </cell>
        </row>
        <row r="318">
          <cell r="B318">
            <v>317</v>
          </cell>
          <cell r="C318">
            <v>0.2424</v>
          </cell>
          <cell r="D318">
            <v>0.41</v>
          </cell>
          <cell r="E318">
            <v>0.1045</v>
          </cell>
          <cell r="F318">
            <v>3</v>
          </cell>
          <cell r="G318">
            <v>87</v>
          </cell>
          <cell r="H318">
            <v>90</v>
          </cell>
        </row>
        <row r="319">
          <cell r="B319">
            <v>318</v>
          </cell>
          <cell r="C319">
            <v>0.2273</v>
          </cell>
          <cell r="D319">
            <v>0.41</v>
          </cell>
          <cell r="E319">
            <v>0.16420000000000001</v>
          </cell>
          <cell r="F319">
            <v>4</v>
          </cell>
          <cell r="G319">
            <v>155</v>
          </cell>
          <cell r="H319">
            <v>159</v>
          </cell>
        </row>
        <row r="320">
          <cell r="B320">
            <v>319</v>
          </cell>
          <cell r="C320">
            <v>0.2576</v>
          </cell>
          <cell r="D320">
            <v>0.47</v>
          </cell>
          <cell r="E320">
            <v>0</v>
          </cell>
          <cell r="F320">
            <v>5</v>
          </cell>
          <cell r="G320">
            <v>134</v>
          </cell>
          <cell r="H320">
            <v>139</v>
          </cell>
        </row>
        <row r="321">
          <cell r="B321">
            <v>320</v>
          </cell>
          <cell r="C321">
            <v>0.19700000000000001</v>
          </cell>
          <cell r="D321">
            <v>0.59</v>
          </cell>
          <cell r="E321">
            <v>8.9599999999999999E-2</v>
          </cell>
          <cell r="F321">
            <v>3</v>
          </cell>
          <cell r="G321">
            <v>89</v>
          </cell>
          <cell r="H321">
            <v>92</v>
          </cell>
        </row>
        <row r="322">
          <cell r="B322">
            <v>321</v>
          </cell>
          <cell r="C322">
            <v>0.2424</v>
          </cell>
          <cell r="D322">
            <v>0.59</v>
          </cell>
          <cell r="E322">
            <v>0</v>
          </cell>
          <cell r="F322">
            <v>0</v>
          </cell>
          <cell r="G322">
            <v>68</v>
          </cell>
          <cell r="H322">
            <v>68</v>
          </cell>
        </row>
        <row r="323">
          <cell r="B323">
            <v>322</v>
          </cell>
          <cell r="C323">
            <v>0.2273</v>
          </cell>
          <cell r="D323">
            <v>0.69</v>
          </cell>
          <cell r="E323">
            <v>0</v>
          </cell>
          <cell r="F323">
            <v>4</v>
          </cell>
          <cell r="G323">
            <v>48</v>
          </cell>
          <cell r="H323">
            <v>52</v>
          </cell>
        </row>
        <row r="324">
          <cell r="B324">
            <v>323</v>
          </cell>
          <cell r="C324">
            <v>0.2273</v>
          </cell>
          <cell r="D324">
            <v>0.69</v>
          </cell>
          <cell r="E324">
            <v>0</v>
          </cell>
          <cell r="F324">
            <v>2</v>
          </cell>
          <cell r="G324">
            <v>34</v>
          </cell>
          <cell r="H324">
            <v>36</v>
          </cell>
        </row>
        <row r="325">
          <cell r="B325">
            <v>324</v>
          </cell>
          <cell r="C325">
            <v>0.2424</v>
          </cell>
          <cell r="D325">
            <v>0.55000000000000004</v>
          </cell>
          <cell r="E325">
            <v>0</v>
          </cell>
          <cell r="F325">
            <v>1</v>
          </cell>
          <cell r="G325">
            <v>26</v>
          </cell>
          <cell r="H325">
            <v>27</v>
          </cell>
        </row>
        <row r="326">
          <cell r="B326">
            <v>325</v>
          </cell>
          <cell r="C326">
            <v>0.2424</v>
          </cell>
          <cell r="D326">
            <v>0.55000000000000004</v>
          </cell>
          <cell r="E326">
            <v>0</v>
          </cell>
          <cell r="F326">
            <v>3</v>
          </cell>
          <cell r="G326">
            <v>25</v>
          </cell>
          <cell r="H326">
            <v>28</v>
          </cell>
        </row>
        <row r="327">
          <cell r="B327">
            <v>326</v>
          </cell>
          <cell r="C327">
            <v>0.19700000000000001</v>
          </cell>
          <cell r="D327">
            <v>0.59</v>
          </cell>
          <cell r="E327">
            <v>8.9599999999999999E-2</v>
          </cell>
          <cell r="F327">
            <v>2</v>
          </cell>
          <cell r="G327">
            <v>18</v>
          </cell>
          <cell r="H327">
            <v>20</v>
          </cell>
        </row>
        <row r="328">
          <cell r="B328">
            <v>327</v>
          </cell>
          <cell r="C328">
            <v>0.19700000000000001</v>
          </cell>
          <cell r="D328">
            <v>0.59</v>
          </cell>
          <cell r="E328">
            <v>8.9599999999999999E-2</v>
          </cell>
          <cell r="F328">
            <v>0</v>
          </cell>
          <cell r="G328">
            <v>12</v>
          </cell>
          <cell r="H328">
            <v>12</v>
          </cell>
        </row>
        <row r="329">
          <cell r="B329">
            <v>328</v>
          </cell>
          <cell r="C329">
            <v>0.2273</v>
          </cell>
          <cell r="D329">
            <v>0.59</v>
          </cell>
          <cell r="E329">
            <v>0</v>
          </cell>
          <cell r="F329">
            <v>1</v>
          </cell>
          <cell r="G329">
            <v>7</v>
          </cell>
          <cell r="H329">
            <v>8</v>
          </cell>
        </row>
        <row r="330">
          <cell r="B330">
            <v>329</v>
          </cell>
          <cell r="C330">
            <v>0.2273</v>
          </cell>
          <cell r="D330">
            <v>0.59</v>
          </cell>
          <cell r="E330">
            <v>0</v>
          </cell>
          <cell r="F330">
            <v>0</v>
          </cell>
          <cell r="G330">
            <v>5</v>
          </cell>
          <cell r="H330">
            <v>5</v>
          </cell>
        </row>
        <row r="331">
          <cell r="B331">
            <v>330</v>
          </cell>
          <cell r="C331">
            <v>0.2273</v>
          </cell>
          <cell r="D331">
            <v>0.59</v>
          </cell>
          <cell r="E331">
            <v>0</v>
          </cell>
          <cell r="F331">
            <v>0</v>
          </cell>
          <cell r="G331">
            <v>1</v>
          </cell>
          <cell r="H331">
            <v>1</v>
          </cell>
        </row>
        <row r="332">
          <cell r="B332">
            <v>331</v>
          </cell>
          <cell r="C332">
            <v>0.16669999999999999</v>
          </cell>
          <cell r="D332">
            <v>0.63</v>
          </cell>
          <cell r="E332">
            <v>0.1045</v>
          </cell>
          <cell r="F332">
            <v>1</v>
          </cell>
          <cell r="G332">
            <v>2</v>
          </cell>
          <cell r="H332">
            <v>3</v>
          </cell>
        </row>
        <row r="333">
          <cell r="B333">
            <v>332</v>
          </cell>
          <cell r="C333">
            <v>0.21210000000000001</v>
          </cell>
          <cell r="D333">
            <v>0.63</v>
          </cell>
          <cell r="E333">
            <v>0</v>
          </cell>
          <cell r="F333">
            <v>1</v>
          </cell>
          <cell r="G333">
            <v>9</v>
          </cell>
          <cell r="H333">
            <v>10</v>
          </cell>
        </row>
        <row r="334">
          <cell r="B334">
            <v>333</v>
          </cell>
          <cell r="C334">
            <v>0.1515</v>
          </cell>
          <cell r="D334">
            <v>0.63</v>
          </cell>
          <cell r="E334">
            <v>0.1343</v>
          </cell>
          <cell r="F334">
            <v>1</v>
          </cell>
          <cell r="G334">
            <v>22</v>
          </cell>
          <cell r="H334">
            <v>23</v>
          </cell>
        </row>
        <row r="335">
          <cell r="B335">
            <v>334</v>
          </cell>
          <cell r="C335">
            <v>0.18179999999999999</v>
          </cell>
          <cell r="D335">
            <v>0.64</v>
          </cell>
          <cell r="E335">
            <v>0.1343</v>
          </cell>
          <cell r="F335">
            <v>2</v>
          </cell>
          <cell r="G335">
            <v>31</v>
          </cell>
          <cell r="H335">
            <v>33</v>
          </cell>
        </row>
        <row r="336">
          <cell r="B336">
            <v>335</v>
          </cell>
          <cell r="C336">
            <v>0.19700000000000001</v>
          </cell>
          <cell r="D336">
            <v>0.59</v>
          </cell>
          <cell r="E336">
            <v>0.16420000000000001</v>
          </cell>
          <cell r="F336">
            <v>2</v>
          </cell>
          <cell r="G336">
            <v>57</v>
          </cell>
          <cell r="H336">
            <v>59</v>
          </cell>
        </row>
        <row r="337">
          <cell r="B337">
            <v>336</v>
          </cell>
          <cell r="C337">
            <v>0.19700000000000001</v>
          </cell>
          <cell r="D337">
            <v>0.55000000000000004</v>
          </cell>
          <cell r="E337">
            <v>0.22389999999999999</v>
          </cell>
          <cell r="F337">
            <v>18</v>
          </cell>
          <cell r="G337">
            <v>54</v>
          </cell>
          <cell r="H337">
            <v>72</v>
          </cell>
        </row>
        <row r="338">
          <cell r="B338">
            <v>337</v>
          </cell>
          <cell r="C338">
            <v>0.2273</v>
          </cell>
          <cell r="D338">
            <v>0.48</v>
          </cell>
          <cell r="E338">
            <v>0.22389999999999999</v>
          </cell>
          <cell r="F338">
            <v>15</v>
          </cell>
          <cell r="G338">
            <v>74</v>
          </cell>
          <cell r="H338">
            <v>89</v>
          </cell>
        </row>
        <row r="339">
          <cell r="B339">
            <v>338</v>
          </cell>
          <cell r="C339">
            <v>0.2576</v>
          </cell>
          <cell r="D339">
            <v>0.38</v>
          </cell>
          <cell r="E339">
            <v>0.29849999999999999</v>
          </cell>
          <cell r="F339">
            <v>21</v>
          </cell>
          <cell r="G339">
            <v>80</v>
          </cell>
          <cell r="H339">
            <v>101</v>
          </cell>
        </row>
        <row r="340">
          <cell r="B340">
            <v>339</v>
          </cell>
          <cell r="C340">
            <v>0.28789999999999999</v>
          </cell>
          <cell r="D340">
            <v>0.39</v>
          </cell>
          <cell r="E340">
            <v>0.28360000000000002</v>
          </cell>
          <cell r="F340">
            <v>26</v>
          </cell>
          <cell r="G340">
            <v>92</v>
          </cell>
          <cell r="H340">
            <v>118</v>
          </cell>
        </row>
        <row r="341">
          <cell r="B341">
            <v>340</v>
          </cell>
          <cell r="C341">
            <v>0.31819999999999998</v>
          </cell>
          <cell r="D341">
            <v>0.36</v>
          </cell>
          <cell r="E341">
            <v>0.19400000000000001</v>
          </cell>
          <cell r="F341">
            <v>21</v>
          </cell>
          <cell r="G341">
            <v>108</v>
          </cell>
          <cell r="H341">
            <v>129</v>
          </cell>
        </row>
        <row r="342">
          <cell r="B342">
            <v>341</v>
          </cell>
          <cell r="C342">
            <v>0.33329999999999999</v>
          </cell>
          <cell r="D342">
            <v>0.34</v>
          </cell>
          <cell r="E342">
            <v>0.19400000000000001</v>
          </cell>
          <cell r="F342">
            <v>33</v>
          </cell>
          <cell r="G342">
            <v>95</v>
          </cell>
          <cell r="H342">
            <v>128</v>
          </cell>
        </row>
        <row r="343">
          <cell r="B343">
            <v>342</v>
          </cell>
          <cell r="C343">
            <v>0.30299999999999999</v>
          </cell>
          <cell r="D343">
            <v>0.36</v>
          </cell>
          <cell r="E343">
            <v>0.28360000000000002</v>
          </cell>
          <cell r="F343">
            <v>29</v>
          </cell>
          <cell r="G343">
            <v>54</v>
          </cell>
          <cell r="H343">
            <v>83</v>
          </cell>
        </row>
        <row r="344">
          <cell r="B344">
            <v>343</v>
          </cell>
          <cell r="C344">
            <v>0.28789999999999999</v>
          </cell>
          <cell r="D344">
            <v>0.45</v>
          </cell>
          <cell r="E344">
            <v>0.25369999999999998</v>
          </cell>
          <cell r="F344">
            <v>15</v>
          </cell>
          <cell r="G344">
            <v>69</v>
          </cell>
          <cell r="H344">
            <v>84</v>
          </cell>
        </row>
        <row r="345">
          <cell r="B345">
            <v>344</v>
          </cell>
          <cell r="C345">
            <v>0.30299999999999999</v>
          </cell>
          <cell r="D345">
            <v>0.39</v>
          </cell>
          <cell r="E345">
            <v>0.25369999999999998</v>
          </cell>
          <cell r="F345">
            <v>14</v>
          </cell>
          <cell r="G345">
            <v>60</v>
          </cell>
          <cell r="H345">
            <v>74</v>
          </cell>
        </row>
        <row r="346">
          <cell r="B346">
            <v>345</v>
          </cell>
          <cell r="C346">
            <v>0.30299999999999999</v>
          </cell>
          <cell r="D346">
            <v>0.39</v>
          </cell>
          <cell r="E346">
            <v>0.25369999999999998</v>
          </cell>
          <cell r="F346">
            <v>6</v>
          </cell>
          <cell r="G346">
            <v>35</v>
          </cell>
          <cell r="H346">
            <v>41</v>
          </cell>
        </row>
        <row r="347">
          <cell r="B347">
            <v>346</v>
          </cell>
          <cell r="C347">
            <v>0.30299999999999999</v>
          </cell>
          <cell r="D347">
            <v>0.39</v>
          </cell>
          <cell r="E347">
            <v>0.22389999999999999</v>
          </cell>
          <cell r="F347">
            <v>6</v>
          </cell>
          <cell r="G347">
            <v>51</v>
          </cell>
          <cell r="H347">
            <v>57</v>
          </cell>
        </row>
        <row r="348">
          <cell r="B348">
            <v>347</v>
          </cell>
          <cell r="C348">
            <v>0.31819999999999998</v>
          </cell>
          <cell r="D348">
            <v>0.42</v>
          </cell>
          <cell r="E348">
            <v>0.1045</v>
          </cell>
          <cell r="F348">
            <v>0</v>
          </cell>
          <cell r="G348">
            <v>26</v>
          </cell>
          <cell r="H348">
            <v>26</v>
          </cell>
        </row>
        <row r="349">
          <cell r="B349">
            <v>348</v>
          </cell>
          <cell r="C349">
            <v>0.28789999999999999</v>
          </cell>
          <cell r="D349">
            <v>0.45</v>
          </cell>
          <cell r="E349">
            <v>0.28360000000000002</v>
          </cell>
          <cell r="F349">
            <v>5</v>
          </cell>
          <cell r="G349">
            <v>39</v>
          </cell>
          <cell r="H349">
            <v>44</v>
          </cell>
        </row>
        <row r="350">
          <cell r="B350">
            <v>349</v>
          </cell>
          <cell r="C350">
            <v>0.30299999999999999</v>
          </cell>
          <cell r="D350">
            <v>0.56000000000000005</v>
          </cell>
          <cell r="E350">
            <v>0</v>
          </cell>
          <cell r="F350">
            <v>6</v>
          </cell>
          <cell r="G350">
            <v>33</v>
          </cell>
          <cell r="H350">
            <v>39</v>
          </cell>
        </row>
        <row r="351">
          <cell r="B351">
            <v>350</v>
          </cell>
          <cell r="C351">
            <v>0.2727</v>
          </cell>
          <cell r="D351">
            <v>0.56000000000000005</v>
          </cell>
          <cell r="E351">
            <v>0.1343</v>
          </cell>
          <cell r="F351">
            <v>4</v>
          </cell>
          <cell r="G351">
            <v>19</v>
          </cell>
          <cell r="H351">
            <v>23</v>
          </cell>
        </row>
        <row r="352">
          <cell r="B352">
            <v>351</v>
          </cell>
          <cell r="C352">
            <v>0.28789999999999999</v>
          </cell>
          <cell r="D352">
            <v>0.56000000000000005</v>
          </cell>
          <cell r="E352">
            <v>8.9599999999999999E-2</v>
          </cell>
          <cell r="F352">
            <v>3</v>
          </cell>
          <cell r="G352">
            <v>13</v>
          </cell>
          <cell r="H352">
            <v>16</v>
          </cell>
        </row>
        <row r="353">
          <cell r="B353">
            <v>352</v>
          </cell>
          <cell r="C353">
            <v>0.2727</v>
          </cell>
          <cell r="D353">
            <v>0.69</v>
          </cell>
          <cell r="E353">
            <v>0</v>
          </cell>
          <cell r="F353">
            <v>9</v>
          </cell>
          <cell r="G353">
            <v>6</v>
          </cell>
          <cell r="H353">
            <v>15</v>
          </cell>
        </row>
        <row r="354">
          <cell r="B354">
            <v>353</v>
          </cell>
          <cell r="C354">
            <v>0.2576</v>
          </cell>
          <cell r="D354">
            <v>0.56000000000000005</v>
          </cell>
          <cell r="E354">
            <v>0.16420000000000001</v>
          </cell>
          <cell r="F354">
            <v>0</v>
          </cell>
          <cell r="G354">
            <v>1</v>
          </cell>
          <cell r="H354">
            <v>1</v>
          </cell>
        </row>
        <row r="355">
          <cell r="B355">
            <v>354</v>
          </cell>
          <cell r="C355">
            <v>0.2576</v>
          </cell>
          <cell r="D355">
            <v>0.56000000000000005</v>
          </cell>
          <cell r="E355">
            <v>0.16420000000000001</v>
          </cell>
          <cell r="F355">
            <v>1</v>
          </cell>
          <cell r="G355">
            <v>1</v>
          </cell>
          <cell r="H355">
            <v>2</v>
          </cell>
        </row>
        <row r="356">
          <cell r="B356">
            <v>355</v>
          </cell>
          <cell r="C356">
            <v>0.2576</v>
          </cell>
          <cell r="D356">
            <v>0.56000000000000005</v>
          </cell>
          <cell r="E356">
            <v>0.16420000000000001</v>
          </cell>
          <cell r="F356">
            <v>0</v>
          </cell>
          <cell r="G356">
            <v>1</v>
          </cell>
          <cell r="H356">
            <v>1</v>
          </cell>
        </row>
        <row r="357">
          <cell r="B357">
            <v>356</v>
          </cell>
          <cell r="C357">
            <v>0.21210000000000001</v>
          </cell>
          <cell r="D357">
            <v>0.56000000000000005</v>
          </cell>
          <cell r="E357">
            <v>0.29849999999999999</v>
          </cell>
          <cell r="F357">
            <v>0</v>
          </cell>
          <cell r="G357">
            <v>3</v>
          </cell>
          <cell r="H357">
            <v>3</v>
          </cell>
        </row>
        <row r="358">
          <cell r="B358">
            <v>357</v>
          </cell>
          <cell r="C358">
            <v>0.21210000000000001</v>
          </cell>
          <cell r="D358">
            <v>0.55000000000000004</v>
          </cell>
          <cell r="E358">
            <v>0.28360000000000002</v>
          </cell>
          <cell r="F358">
            <v>0</v>
          </cell>
          <cell r="G358">
            <v>18</v>
          </cell>
          <cell r="H358">
            <v>18</v>
          </cell>
        </row>
        <row r="359">
          <cell r="B359">
            <v>358</v>
          </cell>
          <cell r="C359">
            <v>0.21210000000000001</v>
          </cell>
          <cell r="D359">
            <v>0.51</v>
          </cell>
          <cell r="E359">
            <v>0.25369999999999998</v>
          </cell>
          <cell r="F359">
            <v>3</v>
          </cell>
          <cell r="G359">
            <v>29</v>
          </cell>
          <cell r="H359">
            <v>32</v>
          </cell>
        </row>
        <row r="360">
          <cell r="B360">
            <v>359</v>
          </cell>
          <cell r="C360">
            <v>0.21210000000000001</v>
          </cell>
          <cell r="D360">
            <v>0.51</v>
          </cell>
          <cell r="E360">
            <v>0.28360000000000002</v>
          </cell>
          <cell r="F360">
            <v>8</v>
          </cell>
          <cell r="G360">
            <v>71</v>
          </cell>
          <cell r="H360">
            <v>79</v>
          </cell>
        </row>
        <row r="361">
          <cell r="B361">
            <v>360</v>
          </cell>
          <cell r="C361">
            <v>0.2273</v>
          </cell>
          <cell r="D361">
            <v>0.44</v>
          </cell>
          <cell r="E361">
            <v>0.25369999999999998</v>
          </cell>
          <cell r="F361">
            <v>23</v>
          </cell>
          <cell r="G361">
            <v>70</v>
          </cell>
          <cell r="H361">
            <v>93</v>
          </cell>
        </row>
        <row r="362">
          <cell r="B362">
            <v>361</v>
          </cell>
          <cell r="C362">
            <v>0.21210000000000001</v>
          </cell>
          <cell r="D362">
            <v>0.41</v>
          </cell>
          <cell r="E362">
            <v>0.28360000000000002</v>
          </cell>
          <cell r="F362">
            <v>29</v>
          </cell>
          <cell r="G362">
            <v>75</v>
          </cell>
          <cell r="H362">
            <v>104</v>
          </cell>
        </row>
        <row r="363">
          <cell r="B363">
            <v>362</v>
          </cell>
          <cell r="C363">
            <v>0.2273</v>
          </cell>
          <cell r="D363">
            <v>0.35</v>
          </cell>
          <cell r="E363">
            <v>0.29849999999999999</v>
          </cell>
          <cell r="F363">
            <v>23</v>
          </cell>
          <cell r="G363">
            <v>95</v>
          </cell>
          <cell r="H363">
            <v>118</v>
          </cell>
        </row>
        <row r="364">
          <cell r="B364">
            <v>363</v>
          </cell>
          <cell r="C364">
            <v>0.2727</v>
          </cell>
          <cell r="D364">
            <v>0.36</v>
          </cell>
          <cell r="E364">
            <v>0.25369999999999998</v>
          </cell>
          <cell r="F364">
            <v>22</v>
          </cell>
          <cell r="G364">
            <v>69</v>
          </cell>
          <cell r="H364">
            <v>91</v>
          </cell>
        </row>
        <row r="365">
          <cell r="B365">
            <v>364</v>
          </cell>
          <cell r="C365">
            <v>0.2424</v>
          </cell>
          <cell r="D365">
            <v>0.38</v>
          </cell>
          <cell r="E365">
            <v>0.25369999999999998</v>
          </cell>
          <cell r="F365">
            <v>35</v>
          </cell>
          <cell r="G365">
            <v>78</v>
          </cell>
          <cell r="H365">
            <v>113</v>
          </cell>
        </row>
        <row r="366">
          <cell r="B366">
            <v>365</v>
          </cell>
          <cell r="C366">
            <v>0.2273</v>
          </cell>
          <cell r="D366">
            <v>0.38</v>
          </cell>
          <cell r="E366">
            <v>0.22389999999999999</v>
          </cell>
          <cell r="F366">
            <v>22</v>
          </cell>
          <cell r="G366">
            <v>77</v>
          </cell>
          <cell r="H366">
            <v>99</v>
          </cell>
        </row>
        <row r="367">
          <cell r="B367">
            <v>366</v>
          </cell>
          <cell r="C367">
            <v>0.21210000000000001</v>
          </cell>
          <cell r="D367">
            <v>0.37</v>
          </cell>
          <cell r="E367">
            <v>0.25369999999999998</v>
          </cell>
          <cell r="F367">
            <v>23</v>
          </cell>
          <cell r="G367">
            <v>82</v>
          </cell>
          <cell r="H367">
            <v>105</v>
          </cell>
        </row>
        <row r="368">
          <cell r="B368">
            <v>367</v>
          </cell>
          <cell r="C368">
            <v>0.21210000000000001</v>
          </cell>
          <cell r="D368">
            <v>0.4</v>
          </cell>
          <cell r="E368">
            <v>0.16420000000000001</v>
          </cell>
          <cell r="F368">
            <v>11</v>
          </cell>
          <cell r="G368">
            <v>56</v>
          </cell>
          <cell r="H368">
            <v>67</v>
          </cell>
        </row>
        <row r="369">
          <cell r="B369">
            <v>368</v>
          </cell>
          <cell r="C369">
            <v>0.19700000000000001</v>
          </cell>
          <cell r="D369">
            <v>0.47</v>
          </cell>
          <cell r="E369">
            <v>0.1343</v>
          </cell>
          <cell r="F369">
            <v>14</v>
          </cell>
          <cell r="G369">
            <v>47</v>
          </cell>
          <cell r="H369">
            <v>61</v>
          </cell>
        </row>
        <row r="370">
          <cell r="B370">
            <v>369</v>
          </cell>
          <cell r="C370">
            <v>0.19700000000000001</v>
          </cell>
          <cell r="D370">
            <v>0.47</v>
          </cell>
          <cell r="E370">
            <v>0.16420000000000001</v>
          </cell>
          <cell r="F370">
            <v>7</v>
          </cell>
          <cell r="G370">
            <v>50</v>
          </cell>
          <cell r="H370">
            <v>57</v>
          </cell>
        </row>
        <row r="371">
          <cell r="B371">
            <v>370</v>
          </cell>
          <cell r="C371">
            <v>0.19700000000000001</v>
          </cell>
          <cell r="D371">
            <v>0.51</v>
          </cell>
          <cell r="E371">
            <v>0.16420000000000001</v>
          </cell>
          <cell r="F371">
            <v>6</v>
          </cell>
          <cell r="G371">
            <v>22</v>
          </cell>
          <cell r="H371">
            <v>28</v>
          </cell>
        </row>
        <row r="372">
          <cell r="B372">
            <v>371</v>
          </cell>
          <cell r="C372">
            <v>0.21210000000000001</v>
          </cell>
          <cell r="D372">
            <v>0.49</v>
          </cell>
          <cell r="E372">
            <v>0.1343</v>
          </cell>
          <cell r="F372">
            <v>2</v>
          </cell>
          <cell r="G372">
            <v>19</v>
          </cell>
          <cell r="H372">
            <v>21</v>
          </cell>
        </row>
        <row r="373">
          <cell r="B373">
            <v>372</v>
          </cell>
          <cell r="C373">
            <v>0.2273</v>
          </cell>
          <cell r="D373">
            <v>0.4</v>
          </cell>
          <cell r="E373">
            <v>0.1045</v>
          </cell>
          <cell r="F373">
            <v>0</v>
          </cell>
          <cell r="G373">
            <v>18</v>
          </cell>
          <cell r="H373">
            <v>18</v>
          </cell>
        </row>
        <row r="374">
          <cell r="B374">
            <v>373</v>
          </cell>
          <cell r="C374">
            <v>0.19700000000000001</v>
          </cell>
          <cell r="D374">
            <v>0.47</v>
          </cell>
          <cell r="E374">
            <v>0.22389999999999999</v>
          </cell>
          <cell r="F374">
            <v>1</v>
          </cell>
          <cell r="G374">
            <v>16</v>
          </cell>
          <cell r="H374">
            <v>17</v>
          </cell>
        </row>
        <row r="375">
          <cell r="B375">
            <v>374</v>
          </cell>
          <cell r="C375">
            <v>0.19700000000000001</v>
          </cell>
          <cell r="D375">
            <v>0.44</v>
          </cell>
          <cell r="E375">
            <v>0.19400000000000001</v>
          </cell>
          <cell r="F375">
            <v>1</v>
          </cell>
          <cell r="G375">
            <v>15</v>
          </cell>
          <cell r="H375">
            <v>16</v>
          </cell>
        </row>
        <row r="376">
          <cell r="B376">
            <v>375</v>
          </cell>
          <cell r="C376">
            <v>0.16669999999999999</v>
          </cell>
          <cell r="D376">
            <v>0.43</v>
          </cell>
          <cell r="E376">
            <v>0.25369999999999998</v>
          </cell>
          <cell r="F376">
            <v>0</v>
          </cell>
          <cell r="G376">
            <v>8</v>
          </cell>
          <cell r="H376">
            <v>8</v>
          </cell>
        </row>
        <row r="377">
          <cell r="B377">
            <v>376</v>
          </cell>
          <cell r="C377">
            <v>0.18179999999999999</v>
          </cell>
          <cell r="D377">
            <v>0.43</v>
          </cell>
          <cell r="E377">
            <v>0.19400000000000001</v>
          </cell>
          <cell r="F377">
            <v>0</v>
          </cell>
          <cell r="G377">
            <v>2</v>
          </cell>
          <cell r="H377">
            <v>2</v>
          </cell>
        </row>
        <row r="378">
          <cell r="B378">
            <v>377</v>
          </cell>
          <cell r="C378">
            <v>0.19700000000000001</v>
          </cell>
          <cell r="D378">
            <v>0.43</v>
          </cell>
          <cell r="E378">
            <v>0.1343</v>
          </cell>
          <cell r="F378">
            <v>1</v>
          </cell>
          <cell r="G378">
            <v>2</v>
          </cell>
          <cell r="H378">
            <v>3</v>
          </cell>
        </row>
        <row r="379">
          <cell r="B379">
            <v>378</v>
          </cell>
          <cell r="C379">
            <v>0.19700000000000001</v>
          </cell>
          <cell r="D379">
            <v>0.43</v>
          </cell>
          <cell r="E379">
            <v>0.16420000000000001</v>
          </cell>
          <cell r="F379">
            <v>0</v>
          </cell>
          <cell r="G379">
            <v>1</v>
          </cell>
          <cell r="H379">
            <v>1</v>
          </cell>
        </row>
        <row r="380">
          <cell r="B380">
            <v>379</v>
          </cell>
          <cell r="C380">
            <v>0.18179999999999999</v>
          </cell>
          <cell r="D380">
            <v>0.43</v>
          </cell>
          <cell r="E380">
            <v>0.19400000000000001</v>
          </cell>
          <cell r="F380">
            <v>0</v>
          </cell>
          <cell r="G380">
            <v>5</v>
          </cell>
          <cell r="H380">
            <v>5</v>
          </cell>
        </row>
        <row r="381">
          <cell r="B381">
            <v>380</v>
          </cell>
          <cell r="C381">
            <v>0.18179999999999999</v>
          </cell>
          <cell r="D381">
            <v>0.5</v>
          </cell>
          <cell r="E381">
            <v>0.1343</v>
          </cell>
          <cell r="F381">
            <v>4</v>
          </cell>
          <cell r="G381">
            <v>9</v>
          </cell>
          <cell r="H381">
            <v>13</v>
          </cell>
        </row>
        <row r="382">
          <cell r="B382">
            <v>381</v>
          </cell>
          <cell r="C382">
            <v>0.1515</v>
          </cell>
          <cell r="D382">
            <v>0.47</v>
          </cell>
          <cell r="E382">
            <v>0.22389999999999999</v>
          </cell>
          <cell r="F382">
            <v>3</v>
          </cell>
          <cell r="G382">
            <v>30</v>
          </cell>
          <cell r="H382">
            <v>33</v>
          </cell>
        </row>
        <row r="383">
          <cell r="B383">
            <v>382</v>
          </cell>
          <cell r="C383">
            <v>0.1515</v>
          </cell>
          <cell r="D383">
            <v>0.47</v>
          </cell>
          <cell r="E383">
            <v>0.22389999999999999</v>
          </cell>
          <cell r="F383">
            <v>8</v>
          </cell>
          <cell r="G383">
            <v>39</v>
          </cell>
          <cell r="H383">
            <v>47</v>
          </cell>
        </row>
        <row r="384">
          <cell r="B384">
            <v>383</v>
          </cell>
          <cell r="C384">
            <v>0.1515</v>
          </cell>
          <cell r="D384">
            <v>0.5</v>
          </cell>
          <cell r="E384">
            <v>0.25369999999999998</v>
          </cell>
          <cell r="F384">
            <v>7</v>
          </cell>
          <cell r="G384">
            <v>50</v>
          </cell>
          <cell r="H384">
            <v>57</v>
          </cell>
        </row>
        <row r="385">
          <cell r="B385">
            <v>384</v>
          </cell>
          <cell r="C385">
            <v>0.1515</v>
          </cell>
          <cell r="D385">
            <v>0.55000000000000004</v>
          </cell>
          <cell r="E385">
            <v>0.19400000000000001</v>
          </cell>
          <cell r="F385">
            <v>9</v>
          </cell>
          <cell r="G385">
            <v>55</v>
          </cell>
          <cell r="H385">
            <v>64</v>
          </cell>
        </row>
        <row r="386">
          <cell r="B386">
            <v>385</v>
          </cell>
          <cell r="C386">
            <v>0.19700000000000001</v>
          </cell>
          <cell r="D386">
            <v>0.47</v>
          </cell>
          <cell r="E386">
            <v>0.1343</v>
          </cell>
          <cell r="F386">
            <v>10</v>
          </cell>
          <cell r="G386">
            <v>70</v>
          </cell>
          <cell r="H386">
            <v>80</v>
          </cell>
        </row>
        <row r="387">
          <cell r="B387">
            <v>386</v>
          </cell>
          <cell r="C387">
            <v>0.19700000000000001</v>
          </cell>
          <cell r="D387">
            <v>0.47</v>
          </cell>
          <cell r="E387">
            <v>0.1343</v>
          </cell>
          <cell r="F387">
            <v>13</v>
          </cell>
          <cell r="G387">
            <v>80</v>
          </cell>
          <cell r="H387">
            <v>93</v>
          </cell>
        </row>
        <row r="388">
          <cell r="B388">
            <v>387</v>
          </cell>
          <cell r="C388">
            <v>0.21210000000000001</v>
          </cell>
          <cell r="D388">
            <v>0.43</v>
          </cell>
          <cell r="E388">
            <v>0.1045</v>
          </cell>
          <cell r="F388">
            <v>12</v>
          </cell>
          <cell r="G388">
            <v>74</v>
          </cell>
          <cell r="H388">
            <v>86</v>
          </cell>
        </row>
        <row r="389">
          <cell r="B389">
            <v>388</v>
          </cell>
          <cell r="C389">
            <v>0.21210000000000001</v>
          </cell>
          <cell r="D389">
            <v>0.47</v>
          </cell>
          <cell r="E389">
            <v>0.16420000000000001</v>
          </cell>
          <cell r="F389">
            <v>21</v>
          </cell>
          <cell r="G389">
            <v>72</v>
          </cell>
          <cell r="H389">
            <v>93</v>
          </cell>
        </row>
        <row r="390">
          <cell r="B390">
            <v>389</v>
          </cell>
          <cell r="C390">
            <v>0.21210000000000001</v>
          </cell>
          <cell r="D390">
            <v>0.47</v>
          </cell>
          <cell r="E390">
            <v>0.16420000000000001</v>
          </cell>
          <cell r="F390">
            <v>6</v>
          </cell>
          <cell r="G390">
            <v>76</v>
          </cell>
          <cell r="H390">
            <v>82</v>
          </cell>
        </row>
        <row r="391">
          <cell r="B391">
            <v>390</v>
          </cell>
          <cell r="C391">
            <v>0.19700000000000001</v>
          </cell>
          <cell r="D391">
            <v>0.51</v>
          </cell>
          <cell r="E391">
            <v>0.19400000000000001</v>
          </cell>
          <cell r="F391">
            <v>4</v>
          </cell>
          <cell r="G391">
            <v>67</v>
          </cell>
          <cell r="H391">
            <v>71</v>
          </cell>
        </row>
        <row r="392">
          <cell r="B392">
            <v>391</v>
          </cell>
          <cell r="C392">
            <v>0.16669999999999999</v>
          </cell>
          <cell r="D392">
            <v>0.55000000000000004</v>
          </cell>
          <cell r="E392">
            <v>0.25369999999999998</v>
          </cell>
          <cell r="F392">
            <v>7</v>
          </cell>
          <cell r="G392">
            <v>85</v>
          </cell>
          <cell r="H392">
            <v>92</v>
          </cell>
        </row>
        <row r="393">
          <cell r="B393">
            <v>392</v>
          </cell>
          <cell r="C393">
            <v>0.18179999999999999</v>
          </cell>
          <cell r="D393">
            <v>0.59</v>
          </cell>
          <cell r="E393">
            <v>0.19400000000000001</v>
          </cell>
          <cell r="F393">
            <v>2</v>
          </cell>
          <cell r="G393">
            <v>58</v>
          </cell>
          <cell r="H393">
            <v>60</v>
          </cell>
        </row>
        <row r="394">
          <cell r="B394">
            <v>393</v>
          </cell>
          <cell r="C394">
            <v>0.1515</v>
          </cell>
          <cell r="D394">
            <v>0.8</v>
          </cell>
          <cell r="E394">
            <v>0.19400000000000001</v>
          </cell>
          <cell r="F394">
            <v>4</v>
          </cell>
          <cell r="G394">
            <v>29</v>
          </cell>
          <cell r="H394">
            <v>33</v>
          </cell>
        </row>
        <row r="395">
          <cell r="B395">
            <v>394</v>
          </cell>
          <cell r="C395">
            <v>0.1515</v>
          </cell>
          <cell r="D395">
            <v>0.8</v>
          </cell>
          <cell r="E395">
            <v>0.19400000000000001</v>
          </cell>
          <cell r="F395">
            <v>3</v>
          </cell>
          <cell r="G395">
            <v>24</v>
          </cell>
          <cell r="H395">
            <v>27</v>
          </cell>
        </row>
        <row r="396">
          <cell r="B396">
            <v>395</v>
          </cell>
          <cell r="C396">
            <v>0.1212</v>
          </cell>
          <cell r="D396">
            <v>0.93</v>
          </cell>
          <cell r="E396">
            <v>0.25369999999999998</v>
          </cell>
          <cell r="F396">
            <v>0</v>
          </cell>
          <cell r="G396">
            <v>13</v>
          </cell>
          <cell r="H396">
            <v>13</v>
          </cell>
        </row>
        <row r="397">
          <cell r="B397">
            <v>396</v>
          </cell>
          <cell r="C397">
            <v>0.13639999999999999</v>
          </cell>
          <cell r="D397">
            <v>0.86</v>
          </cell>
          <cell r="E397">
            <v>0.28360000000000002</v>
          </cell>
          <cell r="F397">
            <v>1</v>
          </cell>
          <cell r="G397">
            <v>3</v>
          </cell>
          <cell r="H397">
            <v>4</v>
          </cell>
        </row>
        <row r="398">
          <cell r="B398">
            <v>397</v>
          </cell>
          <cell r="C398">
            <v>0.18179999999999999</v>
          </cell>
          <cell r="D398">
            <v>0.86</v>
          </cell>
          <cell r="E398">
            <v>0.32840000000000003</v>
          </cell>
          <cell r="F398">
            <v>0</v>
          </cell>
          <cell r="G398">
            <v>3</v>
          </cell>
          <cell r="H398">
            <v>3</v>
          </cell>
        </row>
        <row r="399">
          <cell r="B399">
            <v>398</v>
          </cell>
          <cell r="C399">
            <v>0.19700000000000001</v>
          </cell>
          <cell r="D399">
            <v>0.86</v>
          </cell>
          <cell r="E399">
            <v>0.22389999999999999</v>
          </cell>
          <cell r="F399">
            <v>0</v>
          </cell>
          <cell r="G399">
            <v>22</v>
          </cell>
          <cell r="H399">
            <v>22</v>
          </cell>
        </row>
        <row r="400">
          <cell r="B400">
            <v>399</v>
          </cell>
          <cell r="C400">
            <v>0.2273</v>
          </cell>
          <cell r="D400">
            <v>0.8</v>
          </cell>
          <cell r="E400">
            <v>0.16420000000000001</v>
          </cell>
          <cell r="F400">
            <v>2</v>
          </cell>
          <cell r="G400">
            <v>26</v>
          </cell>
          <cell r="H400">
            <v>28</v>
          </cell>
        </row>
        <row r="401">
          <cell r="B401">
            <v>400</v>
          </cell>
          <cell r="C401">
            <v>0.2273</v>
          </cell>
          <cell r="D401">
            <v>0.87</v>
          </cell>
          <cell r="E401">
            <v>0.16420000000000001</v>
          </cell>
          <cell r="F401">
            <v>3</v>
          </cell>
          <cell r="G401">
            <v>32</v>
          </cell>
          <cell r="H401">
            <v>35</v>
          </cell>
        </row>
        <row r="402">
          <cell r="B402">
            <v>401</v>
          </cell>
          <cell r="C402">
            <v>0.2273</v>
          </cell>
          <cell r="D402">
            <v>0.87</v>
          </cell>
          <cell r="E402">
            <v>0.19400000000000001</v>
          </cell>
          <cell r="F402">
            <v>0</v>
          </cell>
          <cell r="G402">
            <v>61</v>
          </cell>
          <cell r="H402">
            <v>61</v>
          </cell>
        </row>
        <row r="403">
          <cell r="B403">
            <v>402</v>
          </cell>
          <cell r="C403">
            <v>0.2273</v>
          </cell>
          <cell r="D403">
            <v>0.82</v>
          </cell>
          <cell r="E403">
            <v>0.19400000000000001</v>
          </cell>
          <cell r="F403">
            <v>1</v>
          </cell>
          <cell r="G403">
            <v>124</v>
          </cell>
          <cell r="H403">
            <v>125</v>
          </cell>
        </row>
        <row r="404">
          <cell r="B404">
            <v>403</v>
          </cell>
          <cell r="C404">
            <v>0.2273</v>
          </cell>
          <cell r="D404">
            <v>0.8</v>
          </cell>
          <cell r="E404">
            <v>0.16420000000000001</v>
          </cell>
          <cell r="F404">
            <v>1</v>
          </cell>
          <cell r="G404">
            <v>132</v>
          </cell>
          <cell r="H404">
            <v>133</v>
          </cell>
        </row>
        <row r="405">
          <cell r="B405">
            <v>404</v>
          </cell>
          <cell r="C405">
            <v>0.2273</v>
          </cell>
          <cell r="D405">
            <v>0.8</v>
          </cell>
          <cell r="E405">
            <v>0.1343</v>
          </cell>
          <cell r="F405">
            <v>1</v>
          </cell>
          <cell r="G405">
            <v>98</v>
          </cell>
          <cell r="H405">
            <v>99</v>
          </cell>
        </row>
        <row r="406">
          <cell r="B406">
            <v>405</v>
          </cell>
          <cell r="C406">
            <v>0.2727</v>
          </cell>
          <cell r="D406">
            <v>0.87</v>
          </cell>
          <cell r="E406">
            <v>0</v>
          </cell>
          <cell r="F406">
            <v>0</v>
          </cell>
          <cell r="G406">
            <v>83</v>
          </cell>
          <cell r="H406">
            <v>83</v>
          </cell>
        </row>
        <row r="407">
          <cell r="B407">
            <v>406</v>
          </cell>
          <cell r="C407">
            <v>0.2424</v>
          </cell>
          <cell r="D407">
            <v>0.93</v>
          </cell>
          <cell r="E407">
            <v>0.1045</v>
          </cell>
          <cell r="F407">
            <v>0</v>
          </cell>
          <cell r="G407">
            <v>41</v>
          </cell>
          <cell r="H407">
            <v>41</v>
          </cell>
        </row>
        <row r="408">
          <cell r="B408">
            <v>407</v>
          </cell>
          <cell r="C408">
            <v>0.2576</v>
          </cell>
          <cell r="D408">
            <v>0.93</v>
          </cell>
          <cell r="E408">
            <v>8.9599999999999999E-2</v>
          </cell>
          <cell r="F408">
            <v>0</v>
          </cell>
          <cell r="G408">
            <v>33</v>
          </cell>
          <cell r="H408">
            <v>33</v>
          </cell>
        </row>
        <row r="409">
          <cell r="B409">
            <v>408</v>
          </cell>
          <cell r="C409">
            <v>0.2727</v>
          </cell>
          <cell r="D409">
            <v>0.93</v>
          </cell>
          <cell r="E409">
            <v>0</v>
          </cell>
          <cell r="F409">
            <v>1</v>
          </cell>
          <cell r="G409">
            <v>19</v>
          </cell>
          <cell r="H409">
            <v>20</v>
          </cell>
        </row>
        <row r="410">
          <cell r="B410">
            <v>409</v>
          </cell>
          <cell r="C410">
            <v>0.2727</v>
          </cell>
          <cell r="D410">
            <v>0.93</v>
          </cell>
          <cell r="E410">
            <v>0</v>
          </cell>
          <cell r="F410">
            <v>0</v>
          </cell>
          <cell r="G410">
            <v>3</v>
          </cell>
          <cell r="H410">
            <v>3</v>
          </cell>
        </row>
        <row r="411">
          <cell r="B411">
            <v>410</v>
          </cell>
          <cell r="C411">
            <v>0.2273</v>
          </cell>
          <cell r="D411">
            <v>0.93</v>
          </cell>
          <cell r="E411">
            <v>0.1343</v>
          </cell>
          <cell r="F411">
            <v>1</v>
          </cell>
          <cell r="G411">
            <v>6</v>
          </cell>
          <cell r="H411">
            <v>7</v>
          </cell>
        </row>
        <row r="412">
          <cell r="B412">
            <v>411</v>
          </cell>
          <cell r="C412">
            <v>0.2273</v>
          </cell>
          <cell r="D412">
            <v>0.93</v>
          </cell>
          <cell r="E412">
            <v>0.1343</v>
          </cell>
          <cell r="F412">
            <v>0</v>
          </cell>
          <cell r="G412">
            <v>3</v>
          </cell>
          <cell r="H412">
            <v>3</v>
          </cell>
        </row>
        <row r="413">
          <cell r="B413">
            <v>412</v>
          </cell>
          <cell r="C413">
            <v>0.2273</v>
          </cell>
          <cell r="D413">
            <v>0.93</v>
          </cell>
          <cell r="E413">
            <v>0.1343</v>
          </cell>
          <cell r="F413">
            <v>1</v>
          </cell>
          <cell r="G413">
            <v>1</v>
          </cell>
          <cell r="H413">
            <v>2</v>
          </cell>
        </row>
        <row r="414">
          <cell r="B414">
            <v>413</v>
          </cell>
          <cell r="C414">
            <v>0.2576</v>
          </cell>
          <cell r="D414">
            <v>0.93</v>
          </cell>
          <cell r="E414">
            <v>8.9599999999999999E-2</v>
          </cell>
          <cell r="F414">
            <v>0</v>
          </cell>
          <cell r="G414">
            <v>7</v>
          </cell>
          <cell r="H414">
            <v>7</v>
          </cell>
        </row>
        <row r="415">
          <cell r="B415">
            <v>414</v>
          </cell>
          <cell r="C415">
            <v>0.2576</v>
          </cell>
          <cell r="D415">
            <v>0.93</v>
          </cell>
          <cell r="E415">
            <v>8.9599999999999999E-2</v>
          </cell>
          <cell r="F415">
            <v>0</v>
          </cell>
          <cell r="G415">
            <v>32</v>
          </cell>
          <cell r="H415">
            <v>32</v>
          </cell>
        </row>
        <row r="416">
          <cell r="B416">
            <v>415</v>
          </cell>
          <cell r="C416">
            <v>0.2576</v>
          </cell>
          <cell r="D416">
            <v>0.92</v>
          </cell>
          <cell r="E416">
            <v>0.1045</v>
          </cell>
          <cell r="F416">
            <v>1</v>
          </cell>
          <cell r="G416">
            <v>89</v>
          </cell>
          <cell r="H416">
            <v>90</v>
          </cell>
        </row>
        <row r="417">
          <cell r="B417">
            <v>416</v>
          </cell>
          <cell r="C417">
            <v>0.2576</v>
          </cell>
          <cell r="D417">
            <v>0.93</v>
          </cell>
          <cell r="E417">
            <v>0.1045</v>
          </cell>
          <cell r="F417">
            <v>1</v>
          </cell>
          <cell r="G417">
            <v>196</v>
          </cell>
          <cell r="H417">
            <v>197</v>
          </cell>
        </row>
        <row r="418">
          <cell r="B418">
            <v>417</v>
          </cell>
          <cell r="C418">
            <v>0.2576</v>
          </cell>
          <cell r="D418">
            <v>0.93</v>
          </cell>
          <cell r="E418">
            <v>0.1045</v>
          </cell>
          <cell r="F418">
            <v>2</v>
          </cell>
          <cell r="G418">
            <v>107</v>
          </cell>
          <cell r="H418">
            <v>109</v>
          </cell>
        </row>
        <row r="419">
          <cell r="B419">
            <v>418</v>
          </cell>
          <cell r="C419">
            <v>0.2727</v>
          </cell>
          <cell r="D419">
            <v>0.93</v>
          </cell>
          <cell r="E419">
            <v>0.1343</v>
          </cell>
          <cell r="F419">
            <v>1</v>
          </cell>
          <cell r="G419">
            <v>46</v>
          </cell>
          <cell r="H419">
            <v>47</v>
          </cell>
        </row>
        <row r="420">
          <cell r="B420">
            <v>419</v>
          </cell>
          <cell r="C420">
            <v>0.30299999999999999</v>
          </cell>
          <cell r="D420">
            <v>0.87</v>
          </cell>
          <cell r="E420">
            <v>8.9599999999999999E-2</v>
          </cell>
          <cell r="F420">
            <v>5</v>
          </cell>
          <cell r="G420">
            <v>47</v>
          </cell>
          <cell r="H420">
            <v>52</v>
          </cell>
        </row>
        <row r="421">
          <cell r="B421">
            <v>420</v>
          </cell>
          <cell r="C421">
            <v>0.31819999999999998</v>
          </cell>
          <cell r="D421">
            <v>0.81</v>
          </cell>
          <cell r="E421">
            <v>8.9599999999999999E-2</v>
          </cell>
          <cell r="F421">
            <v>5</v>
          </cell>
          <cell r="G421">
            <v>65</v>
          </cell>
          <cell r="H421">
            <v>70</v>
          </cell>
        </row>
        <row r="422">
          <cell r="B422">
            <v>421</v>
          </cell>
          <cell r="C422">
            <v>0.40910000000000002</v>
          </cell>
          <cell r="D422">
            <v>0.62</v>
          </cell>
          <cell r="E422">
            <v>0.28360000000000002</v>
          </cell>
          <cell r="F422">
            <v>11</v>
          </cell>
          <cell r="G422">
            <v>67</v>
          </cell>
          <cell r="H422">
            <v>78</v>
          </cell>
        </row>
        <row r="423">
          <cell r="B423">
            <v>422</v>
          </cell>
          <cell r="C423">
            <v>0.40910000000000002</v>
          </cell>
          <cell r="D423">
            <v>0.57999999999999996</v>
          </cell>
          <cell r="E423">
            <v>0.25369999999999998</v>
          </cell>
          <cell r="F423">
            <v>7</v>
          </cell>
          <cell r="G423">
            <v>68</v>
          </cell>
          <cell r="H423">
            <v>75</v>
          </cell>
        </row>
        <row r="424">
          <cell r="B424">
            <v>423</v>
          </cell>
          <cell r="C424">
            <v>0.40910000000000002</v>
          </cell>
          <cell r="D424">
            <v>0.54</v>
          </cell>
          <cell r="E424">
            <v>0.28360000000000002</v>
          </cell>
          <cell r="F424">
            <v>4</v>
          </cell>
          <cell r="G424">
            <v>78</v>
          </cell>
          <cell r="H424">
            <v>82</v>
          </cell>
        </row>
        <row r="425">
          <cell r="B425">
            <v>424</v>
          </cell>
          <cell r="C425">
            <v>0.39389999999999997</v>
          </cell>
          <cell r="D425">
            <v>0.57999999999999996</v>
          </cell>
          <cell r="E425">
            <v>0.3881</v>
          </cell>
          <cell r="F425">
            <v>10</v>
          </cell>
          <cell r="G425">
            <v>94</v>
          </cell>
          <cell r="H425">
            <v>104</v>
          </cell>
        </row>
        <row r="426">
          <cell r="B426">
            <v>425</v>
          </cell>
          <cell r="C426">
            <v>0.33329999999999999</v>
          </cell>
          <cell r="D426">
            <v>0.56999999999999995</v>
          </cell>
          <cell r="E426">
            <v>0.32840000000000003</v>
          </cell>
          <cell r="F426">
            <v>7</v>
          </cell>
          <cell r="G426">
            <v>190</v>
          </cell>
          <cell r="H426">
            <v>197</v>
          </cell>
        </row>
        <row r="427">
          <cell r="B427">
            <v>426</v>
          </cell>
          <cell r="C427">
            <v>0.31819999999999998</v>
          </cell>
          <cell r="D427">
            <v>0.61</v>
          </cell>
          <cell r="E427">
            <v>0.28360000000000002</v>
          </cell>
          <cell r="F427">
            <v>5</v>
          </cell>
          <cell r="G427">
            <v>156</v>
          </cell>
          <cell r="H427">
            <v>161</v>
          </cell>
        </row>
        <row r="428">
          <cell r="B428">
            <v>427</v>
          </cell>
          <cell r="C428">
            <v>0.28789999999999999</v>
          </cell>
          <cell r="D428">
            <v>0.56999999999999995</v>
          </cell>
          <cell r="E428">
            <v>0.41789999999999999</v>
          </cell>
          <cell r="F428">
            <v>4</v>
          </cell>
          <cell r="G428">
            <v>108</v>
          </cell>
          <cell r="H428">
            <v>112</v>
          </cell>
        </row>
        <row r="429">
          <cell r="B429">
            <v>428</v>
          </cell>
          <cell r="C429">
            <v>0.30299999999999999</v>
          </cell>
          <cell r="D429">
            <v>0.49</v>
          </cell>
          <cell r="E429">
            <v>0.29849999999999999</v>
          </cell>
          <cell r="F429">
            <v>2</v>
          </cell>
          <cell r="G429">
            <v>74</v>
          </cell>
          <cell r="H429">
            <v>76</v>
          </cell>
        </row>
        <row r="430">
          <cell r="B430">
            <v>429</v>
          </cell>
          <cell r="C430">
            <v>0.28789999999999999</v>
          </cell>
          <cell r="D430">
            <v>0.49</v>
          </cell>
          <cell r="E430">
            <v>0.41789999999999999</v>
          </cell>
          <cell r="F430">
            <v>4</v>
          </cell>
          <cell r="G430">
            <v>55</v>
          </cell>
          <cell r="H430">
            <v>59</v>
          </cell>
        </row>
        <row r="431">
          <cell r="B431">
            <v>430</v>
          </cell>
          <cell r="C431">
            <v>0.30299999999999999</v>
          </cell>
          <cell r="D431">
            <v>0.52</v>
          </cell>
          <cell r="E431">
            <v>0.16420000000000001</v>
          </cell>
          <cell r="F431">
            <v>6</v>
          </cell>
          <cell r="G431">
            <v>53</v>
          </cell>
          <cell r="H431">
            <v>59</v>
          </cell>
        </row>
        <row r="432">
          <cell r="B432">
            <v>431</v>
          </cell>
          <cell r="C432">
            <v>0.2727</v>
          </cell>
          <cell r="D432">
            <v>0.52</v>
          </cell>
          <cell r="E432">
            <v>0.4627</v>
          </cell>
          <cell r="F432">
            <v>1</v>
          </cell>
          <cell r="G432">
            <v>27</v>
          </cell>
          <cell r="H432">
            <v>28</v>
          </cell>
        </row>
        <row r="433">
          <cell r="B433">
            <v>432</v>
          </cell>
          <cell r="C433">
            <v>0.2273</v>
          </cell>
          <cell r="D433">
            <v>0.56000000000000005</v>
          </cell>
          <cell r="E433">
            <v>0.3881</v>
          </cell>
          <cell r="F433">
            <v>5</v>
          </cell>
          <cell r="G433">
            <v>8</v>
          </cell>
          <cell r="H433">
            <v>13</v>
          </cell>
        </row>
        <row r="434">
          <cell r="B434">
            <v>433</v>
          </cell>
          <cell r="C434">
            <v>0.2727</v>
          </cell>
          <cell r="D434">
            <v>0.56000000000000005</v>
          </cell>
          <cell r="E434">
            <v>0</v>
          </cell>
          <cell r="F434">
            <v>2</v>
          </cell>
          <cell r="G434">
            <v>3</v>
          </cell>
          <cell r="H434">
            <v>5</v>
          </cell>
        </row>
        <row r="435">
          <cell r="B435">
            <v>434</v>
          </cell>
          <cell r="C435">
            <v>0.2727</v>
          </cell>
          <cell r="D435">
            <v>0.56000000000000005</v>
          </cell>
          <cell r="E435">
            <v>0</v>
          </cell>
          <cell r="F435">
            <v>0</v>
          </cell>
          <cell r="G435">
            <v>2</v>
          </cell>
          <cell r="H435">
            <v>2</v>
          </cell>
        </row>
        <row r="436">
          <cell r="B436">
            <v>435</v>
          </cell>
          <cell r="C436">
            <v>0.2576</v>
          </cell>
          <cell r="D436">
            <v>0.56000000000000005</v>
          </cell>
          <cell r="E436">
            <v>0.16420000000000001</v>
          </cell>
          <cell r="F436">
            <v>0</v>
          </cell>
          <cell r="G436">
            <v>1</v>
          </cell>
          <cell r="H436">
            <v>1</v>
          </cell>
        </row>
        <row r="437">
          <cell r="B437">
            <v>436</v>
          </cell>
          <cell r="C437">
            <v>0.2576</v>
          </cell>
          <cell r="D437">
            <v>0.56000000000000005</v>
          </cell>
          <cell r="E437">
            <v>0.16420000000000001</v>
          </cell>
          <cell r="F437">
            <v>0</v>
          </cell>
          <cell r="G437">
            <v>1</v>
          </cell>
          <cell r="H437">
            <v>1</v>
          </cell>
        </row>
        <row r="438">
          <cell r="B438">
            <v>437</v>
          </cell>
          <cell r="C438">
            <v>0.2273</v>
          </cell>
          <cell r="D438">
            <v>0.6</v>
          </cell>
          <cell r="E438">
            <v>0.22389999999999999</v>
          </cell>
          <cell r="F438">
            <v>0</v>
          </cell>
          <cell r="G438">
            <v>6</v>
          </cell>
          <cell r="H438">
            <v>6</v>
          </cell>
        </row>
        <row r="439">
          <cell r="B439">
            <v>438</v>
          </cell>
          <cell r="C439">
            <v>0.21210000000000001</v>
          </cell>
          <cell r="D439">
            <v>0.6</v>
          </cell>
          <cell r="E439">
            <v>0.22389999999999999</v>
          </cell>
          <cell r="F439">
            <v>0</v>
          </cell>
          <cell r="G439">
            <v>35</v>
          </cell>
          <cell r="H439">
            <v>35</v>
          </cell>
        </row>
        <row r="440">
          <cell r="B440">
            <v>439</v>
          </cell>
          <cell r="C440">
            <v>0.21210000000000001</v>
          </cell>
          <cell r="D440">
            <v>0.55000000000000004</v>
          </cell>
          <cell r="E440">
            <v>0.22389999999999999</v>
          </cell>
          <cell r="F440">
            <v>1</v>
          </cell>
          <cell r="G440">
            <v>100</v>
          </cell>
          <cell r="H440">
            <v>101</v>
          </cell>
        </row>
        <row r="441">
          <cell r="B441">
            <v>440</v>
          </cell>
          <cell r="C441">
            <v>0.21210000000000001</v>
          </cell>
          <cell r="D441">
            <v>0.55000000000000004</v>
          </cell>
          <cell r="E441">
            <v>0.28360000000000002</v>
          </cell>
          <cell r="F441">
            <v>2</v>
          </cell>
          <cell r="G441">
            <v>247</v>
          </cell>
          <cell r="H441">
            <v>249</v>
          </cell>
        </row>
        <row r="442">
          <cell r="B442">
            <v>441</v>
          </cell>
          <cell r="C442">
            <v>0.2273</v>
          </cell>
          <cell r="D442">
            <v>0.52</v>
          </cell>
          <cell r="E442">
            <v>0.22389999999999999</v>
          </cell>
          <cell r="F442">
            <v>3</v>
          </cell>
          <cell r="G442">
            <v>140</v>
          </cell>
          <cell r="H442">
            <v>143</v>
          </cell>
        </row>
        <row r="443">
          <cell r="B443">
            <v>442</v>
          </cell>
          <cell r="C443">
            <v>0.2273</v>
          </cell>
          <cell r="D443">
            <v>0.48</v>
          </cell>
          <cell r="E443">
            <v>0.29849999999999999</v>
          </cell>
          <cell r="F443">
            <v>1</v>
          </cell>
          <cell r="G443">
            <v>56</v>
          </cell>
          <cell r="H443">
            <v>57</v>
          </cell>
        </row>
        <row r="444">
          <cell r="B444">
            <v>443</v>
          </cell>
          <cell r="C444">
            <v>0.2727</v>
          </cell>
          <cell r="D444">
            <v>0.45</v>
          </cell>
          <cell r="E444">
            <v>0.16420000000000001</v>
          </cell>
          <cell r="F444">
            <v>5</v>
          </cell>
          <cell r="G444">
            <v>63</v>
          </cell>
          <cell r="H444">
            <v>68</v>
          </cell>
        </row>
        <row r="445">
          <cell r="B445">
            <v>444</v>
          </cell>
          <cell r="C445">
            <v>0.33329999999999999</v>
          </cell>
          <cell r="D445">
            <v>0.42</v>
          </cell>
          <cell r="E445">
            <v>0</v>
          </cell>
          <cell r="F445">
            <v>7</v>
          </cell>
          <cell r="G445">
            <v>77</v>
          </cell>
          <cell r="H445">
            <v>84</v>
          </cell>
        </row>
        <row r="446">
          <cell r="B446">
            <v>445</v>
          </cell>
          <cell r="C446">
            <v>0.28789999999999999</v>
          </cell>
          <cell r="D446">
            <v>0.45</v>
          </cell>
          <cell r="E446">
            <v>0.1045</v>
          </cell>
          <cell r="F446">
            <v>12</v>
          </cell>
          <cell r="G446">
            <v>86</v>
          </cell>
          <cell r="H446">
            <v>98</v>
          </cell>
        </row>
        <row r="447">
          <cell r="B447">
            <v>446</v>
          </cell>
          <cell r="C447">
            <v>0.30299999999999999</v>
          </cell>
          <cell r="D447">
            <v>0.45</v>
          </cell>
          <cell r="E447">
            <v>0.1343</v>
          </cell>
          <cell r="F447">
            <v>6</v>
          </cell>
          <cell r="G447">
            <v>75</v>
          </cell>
          <cell r="H447">
            <v>81</v>
          </cell>
        </row>
        <row r="448">
          <cell r="B448">
            <v>447</v>
          </cell>
          <cell r="C448">
            <v>0.31819999999999998</v>
          </cell>
          <cell r="D448">
            <v>0.45</v>
          </cell>
          <cell r="E448">
            <v>0.19400000000000001</v>
          </cell>
          <cell r="F448">
            <v>8</v>
          </cell>
          <cell r="G448">
            <v>62</v>
          </cell>
          <cell r="H448">
            <v>70</v>
          </cell>
        </row>
        <row r="449">
          <cell r="B449">
            <v>448</v>
          </cell>
          <cell r="C449">
            <v>0.30299999999999999</v>
          </cell>
          <cell r="D449">
            <v>0.49</v>
          </cell>
          <cell r="E449">
            <v>0.1343</v>
          </cell>
          <cell r="F449">
            <v>8</v>
          </cell>
          <cell r="G449">
            <v>83</v>
          </cell>
          <cell r="H449">
            <v>91</v>
          </cell>
        </row>
        <row r="450">
          <cell r="B450">
            <v>449</v>
          </cell>
          <cell r="C450">
            <v>0.31819999999999998</v>
          </cell>
          <cell r="D450">
            <v>0.49</v>
          </cell>
          <cell r="E450">
            <v>0.1045</v>
          </cell>
          <cell r="F450">
            <v>8</v>
          </cell>
          <cell r="G450">
            <v>207</v>
          </cell>
          <cell r="H450">
            <v>215</v>
          </cell>
        </row>
        <row r="451">
          <cell r="B451">
            <v>450</v>
          </cell>
          <cell r="C451">
            <v>0.2576</v>
          </cell>
          <cell r="D451">
            <v>0.56000000000000005</v>
          </cell>
          <cell r="E451">
            <v>0.19400000000000001</v>
          </cell>
          <cell r="F451">
            <v>1</v>
          </cell>
          <cell r="G451">
            <v>184</v>
          </cell>
          <cell r="H451">
            <v>185</v>
          </cell>
        </row>
        <row r="452">
          <cell r="B452">
            <v>451</v>
          </cell>
          <cell r="C452">
            <v>0.2273</v>
          </cell>
          <cell r="D452">
            <v>0.56000000000000005</v>
          </cell>
          <cell r="E452">
            <v>0.32840000000000003</v>
          </cell>
          <cell r="F452">
            <v>6</v>
          </cell>
          <cell r="G452">
            <v>146</v>
          </cell>
          <cell r="H452">
            <v>152</v>
          </cell>
        </row>
        <row r="453">
          <cell r="B453">
            <v>452</v>
          </cell>
          <cell r="C453">
            <v>0.2424</v>
          </cell>
          <cell r="D453">
            <v>0.6</v>
          </cell>
          <cell r="E453">
            <v>0.28360000000000002</v>
          </cell>
          <cell r="F453">
            <v>2</v>
          </cell>
          <cell r="G453">
            <v>124</v>
          </cell>
          <cell r="H453">
            <v>126</v>
          </cell>
        </row>
        <row r="454">
          <cell r="B454">
            <v>453</v>
          </cell>
          <cell r="C454">
            <v>0.2273</v>
          </cell>
          <cell r="D454">
            <v>0.6</v>
          </cell>
          <cell r="E454">
            <v>0.25369999999999998</v>
          </cell>
          <cell r="F454">
            <v>3</v>
          </cell>
          <cell r="G454">
            <v>54</v>
          </cell>
          <cell r="H454">
            <v>57</v>
          </cell>
        </row>
        <row r="455">
          <cell r="B455">
            <v>454</v>
          </cell>
          <cell r="C455">
            <v>0.21210000000000001</v>
          </cell>
          <cell r="D455">
            <v>0.65</v>
          </cell>
          <cell r="E455">
            <v>0.28360000000000002</v>
          </cell>
          <cell r="F455">
            <v>0</v>
          </cell>
          <cell r="G455">
            <v>56</v>
          </cell>
          <cell r="H455">
            <v>56</v>
          </cell>
        </row>
        <row r="456">
          <cell r="B456">
            <v>455</v>
          </cell>
          <cell r="C456">
            <v>0.21210000000000001</v>
          </cell>
          <cell r="D456">
            <v>0.65</v>
          </cell>
          <cell r="E456">
            <v>0.32840000000000003</v>
          </cell>
          <cell r="F456">
            <v>3</v>
          </cell>
          <cell r="G456">
            <v>28</v>
          </cell>
          <cell r="H456">
            <v>31</v>
          </cell>
        </row>
        <row r="457">
          <cell r="B457">
            <v>456</v>
          </cell>
          <cell r="C457">
            <v>0.2273</v>
          </cell>
          <cell r="D457">
            <v>0.7</v>
          </cell>
          <cell r="E457">
            <v>0.25369999999999998</v>
          </cell>
          <cell r="F457">
            <v>1</v>
          </cell>
          <cell r="G457">
            <v>20</v>
          </cell>
          <cell r="H457">
            <v>21</v>
          </cell>
        </row>
        <row r="458">
          <cell r="B458">
            <v>457</v>
          </cell>
          <cell r="C458">
            <v>0.2273</v>
          </cell>
          <cell r="D458">
            <v>0.7</v>
          </cell>
          <cell r="E458">
            <v>0.25369999999999998</v>
          </cell>
          <cell r="F458">
            <v>0</v>
          </cell>
          <cell r="G458">
            <v>6</v>
          </cell>
          <cell r="H458">
            <v>6</v>
          </cell>
        </row>
        <row r="459">
          <cell r="B459">
            <v>458</v>
          </cell>
          <cell r="C459">
            <v>0.2424</v>
          </cell>
          <cell r="D459">
            <v>0.75</v>
          </cell>
          <cell r="E459">
            <v>0.16420000000000001</v>
          </cell>
          <cell r="F459">
            <v>0</v>
          </cell>
          <cell r="G459">
            <v>2</v>
          </cell>
          <cell r="H459">
            <v>2</v>
          </cell>
        </row>
        <row r="460">
          <cell r="B460">
            <v>459</v>
          </cell>
          <cell r="C460">
            <v>0.21210000000000001</v>
          </cell>
          <cell r="D460">
            <v>0.8</v>
          </cell>
          <cell r="E460">
            <v>0.29849999999999999</v>
          </cell>
          <cell r="F460">
            <v>0</v>
          </cell>
          <cell r="G460">
            <v>1</v>
          </cell>
          <cell r="H460">
            <v>1</v>
          </cell>
        </row>
        <row r="461">
          <cell r="B461">
            <v>460</v>
          </cell>
          <cell r="C461">
            <v>0.2576</v>
          </cell>
          <cell r="D461">
            <v>0.87</v>
          </cell>
          <cell r="E461">
            <v>8.9599999999999999E-2</v>
          </cell>
          <cell r="F461">
            <v>0</v>
          </cell>
          <cell r="G461">
            <v>1</v>
          </cell>
          <cell r="H461">
            <v>1</v>
          </cell>
        </row>
        <row r="462">
          <cell r="B462">
            <v>461</v>
          </cell>
          <cell r="C462">
            <v>0.19700000000000001</v>
          </cell>
          <cell r="D462">
            <v>0.6</v>
          </cell>
          <cell r="E462">
            <v>0.41789999999999999</v>
          </cell>
          <cell r="F462">
            <v>1</v>
          </cell>
          <cell r="G462">
            <v>4</v>
          </cell>
          <cell r="H462">
            <v>5</v>
          </cell>
        </row>
        <row r="463">
          <cell r="B463">
            <v>462</v>
          </cell>
          <cell r="C463">
            <v>0.21210000000000001</v>
          </cell>
          <cell r="D463">
            <v>0.55000000000000004</v>
          </cell>
          <cell r="E463">
            <v>0.25369999999999998</v>
          </cell>
          <cell r="F463">
            <v>0</v>
          </cell>
          <cell r="G463">
            <v>27</v>
          </cell>
          <cell r="H463">
            <v>27</v>
          </cell>
        </row>
        <row r="464">
          <cell r="B464">
            <v>463</v>
          </cell>
          <cell r="C464">
            <v>0.18179999999999999</v>
          </cell>
          <cell r="D464">
            <v>0.51</v>
          </cell>
          <cell r="E464">
            <v>0.28360000000000002</v>
          </cell>
          <cell r="F464">
            <v>2</v>
          </cell>
          <cell r="G464">
            <v>66</v>
          </cell>
          <cell r="H464">
            <v>68</v>
          </cell>
        </row>
        <row r="465">
          <cell r="B465">
            <v>464</v>
          </cell>
          <cell r="C465">
            <v>0.18179999999999999</v>
          </cell>
          <cell r="D465">
            <v>0.47</v>
          </cell>
          <cell r="E465">
            <v>0.32840000000000003</v>
          </cell>
          <cell r="F465">
            <v>7</v>
          </cell>
          <cell r="G465">
            <v>210</v>
          </cell>
          <cell r="H465">
            <v>217</v>
          </cell>
        </row>
        <row r="466">
          <cell r="B466">
            <v>465</v>
          </cell>
          <cell r="C466">
            <v>0.18179999999999999</v>
          </cell>
          <cell r="D466">
            <v>0.51</v>
          </cell>
          <cell r="E466">
            <v>0.35820000000000002</v>
          </cell>
          <cell r="F466">
            <v>7</v>
          </cell>
          <cell r="G466">
            <v>159</v>
          </cell>
          <cell r="H466">
            <v>166</v>
          </cell>
        </row>
        <row r="467">
          <cell r="B467">
            <v>466</v>
          </cell>
          <cell r="C467">
            <v>0.16669999999999999</v>
          </cell>
          <cell r="D467">
            <v>0.47</v>
          </cell>
          <cell r="E467">
            <v>0.4627</v>
          </cell>
          <cell r="F467">
            <v>6</v>
          </cell>
          <cell r="G467">
            <v>57</v>
          </cell>
          <cell r="H467">
            <v>63</v>
          </cell>
        </row>
        <row r="468">
          <cell r="B468">
            <v>467</v>
          </cell>
          <cell r="C468">
            <v>0.18179999999999999</v>
          </cell>
          <cell r="D468">
            <v>0.41</v>
          </cell>
          <cell r="E468">
            <v>0.4627</v>
          </cell>
          <cell r="F468">
            <v>6</v>
          </cell>
          <cell r="G468">
            <v>53</v>
          </cell>
          <cell r="H468">
            <v>59</v>
          </cell>
        </row>
        <row r="469">
          <cell r="B469">
            <v>468</v>
          </cell>
          <cell r="C469">
            <v>0.18179999999999999</v>
          </cell>
          <cell r="D469">
            <v>0.27</v>
          </cell>
          <cell r="E469">
            <v>0.58209999999999995</v>
          </cell>
          <cell r="F469">
            <v>11</v>
          </cell>
          <cell r="G469">
            <v>67</v>
          </cell>
          <cell r="H469">
            <v>78</v>
          </cell>
        </row>
        <row r="470">
          <cell r="B470">
            <v>469</v>
          </cell>
          <cell r="C470">
            <v>0.1515</v>
          </cell>
          <cell r="D470">
            <v>0.21</v>
          </cell>
          <cell r="E470">
            <v>0.58209999999999995</v>
          </cell>
          <cell r="F470">
            <v>8</v>
          </cell>
          <cell r="G470">
            <v>65</v>
          </cell>
          <cell r="H470">
            <v>73</v>
          </cell>
        </row>
        <row r="471">
          <cell r="B471">
            <v>470</v>
          </cell>
          <cell r="C471">
            <v>0.1515</v>
          </cell>
          <cell r="D471">
            <v>0.25</v>
          </cell>
          <cell r="E471">
            <v>0.52239999999999998</v>
          </cell>
          <cell r="F471">
            <v>6</v>
          </cell>
          <cell r="G471">
            <v>56</v>
          </cell>
          <cell r="H471">
            <v>62</v>
          </cell>
        </row>
        <row r="472">
          <cell r="B472">
            <v>471</v>
          </cell>
          <cell r="C472">
            <v>0.1212</v>
          </cell>
          <cell r="D472">
            <v>0.26</v>
          </cell>
          <cell r="E472">
            <v>0.44779999999999998</v>
          </cell>
          <cell r="F472">
            <v>4</v>
          </cell>
          <cell r="G472">
            <v>61</v>
          </cell>
          <cell r="H472">
            <v>65</v>
          </cell>
        </row>
        <row r="473">
          <cell r="B473">
            <v>472</v>
          </cell>
          <cell r="C473">
            <v>0.13639999999999999</v>
          </cell>
          <cell r="D473">
            <v>0.26</v>
          </cell>
          <cell r="E473">
            <v>0.35820000000000002</v>
          </cell>
          <cell r="F473">
            <v>0</v>
          </cell>
          <cell r="G473">
            <v>97</v>
          </cell>
          <cell r="H473">
            <v>97</v>
          </cell>
        </row>
        <row r="474">
          <cell r="B474">
            <v>473</v>
          </cell>
          <cell r="C474">
            <v>0.1212</v>
          </cell>
          <cell r="D474">
            <v>0.28000000000000003</v>
          </cell>
          <cell r="E474">
            <v>0.35820000000000002</v>
          </cell>
          <cell r="F474">
            <v>10</v>
          </cell>
          <cell r="G474">
            <v>151</v>
          </cell>
          <cell r="H474">
            <v>161</v>
          </cell>
        </row>
        <row r="475">
          <cell r="B475">
            <v>474</v>
          </cell>
          <cell r="C475">
            <v>0.1212</v>
          </cell>
          <cell r="D475">
            <v>0.3</v>
          </cell>
          <cell r="E475">
            <v>0.25369999999999998</v>
          </cell>
          <cell r="F475">
            <v>1</v>
          </cell>
          <cell r="G475">
            <v>119</v>
          </cell>
          <cell r="H475">
            <v>120</v>
          </cell>
        </row>
        <row r="476">
          <cell r="B476">
            <v>475</v>
          </cell>
          <cell r="C476">
            <v>0.1061</v>
          </cell>
          <cell r="D476">
            <v>0.3</v>
          </cell>
          <cell r="E476">
            <v>0.32840000000000003</v>
          </cell>
          <cell r="F476">
            <v>3</v>
          </cell>
          <cell r="G476">
            <v>93</v>
          </cell>
          <cell r="H476">
            <v>96</v>
          </cell>
        </row>
        <row r="477">
          <cell r="B477">
            <v>476</v>
          </cell>
          <cell r="C477">
            <v>7.5800000000000006E-2</v>
          </cell>
          <cell r="D477">
            <v>0.33</v>
          </cell>
          <cell r="E477">
            <v>0.41789999999999999</v>
          </cell>
          <cell r="F477">
            <v>1</v>
          </cell>
          <cell r="G477">
            <v>52</v>
          </cell>
          <cell r="H477">
            <v>53</v>
          </cell>
        </row>
        <row r="478">
          <cell r="B478">
            <v>477</v>
          </cell>
          <cell r="C478">
            <v>7.5800000000000006E-2</v>
          </cell>
          <cell r="D478">
            <v>0.38</v>
          </cell>
          <cell r="E478">
            <v>0.28360000000000002</v>
          </cell>
          <cell r="F478">
            <v>0</v>
          </cell>
          <cell r="G478">
            <v>41</v>
          </cell>
          <cell r="H478">
            <v>41</v>
          </cell>
        </row>
        <row r="479">
          <cell r="B479">
            <v>478</v>
          </cell>
          <cell r="C479">
            <v>3.0300000000000001E-2</v>
          </cell>
          <cell r="D479">
            <v>0.41</v>
          </cell>
          <cell r="E479">
            <v>0.3881</v>
          </cell>
          <cell r="F479">
            <v>1</v>
          </cell>
          <cell r="G479">
            <v>33</v>
          </cell>
          <cell r="H479">
            <v>34</v>
          </cell>
        </row>
        <row r="480">
          <cell r="B480">
            <v>479</v>
          </cell>
          <cell r="C480">
            <v>4.5499999999999999E-2</v>
          </cell>
          <cell r="D480">
            <v>0.38</v>
          </cell>
          <cell r="E480">
            <v>0.32840000000000003</v>
          </cell>
          <cell r="F480">
            <v>0</v>
          </cell>
          <cell r="G480">
            <v>27</v>
          </cell>
          <cell r="H480">
            <v>27</v>
          </cell>
        </row>
        <row r="481">
          <cell r="B481">
            <v>480</v>
          </cell>
          <cell r="C481">
            <v>3.0300000000000001E-2</v>
          </cell>
          <cell r="D481">
            <v>0.45</v>
          </cell>
          <cell r="E481">
            <v>0.25369999999999998</v>
          </cell>
          <cell r="F481">
            <v>0</v>
          </cell>
          <cell r="G481">
            <v>13</v>
          </cell>
          <cell r="H481">
            <v>13</v>
          </cell>
        </row>
        <row r="482">
          <cell r="B482">
            <v>481</v>
          </cell>
          <cell r="C482">
            <v>0</v>
          </cell>
          <cell r="D482">
            <v>0.41</v>
          </cell>
          <cell r="E482">
            <v>0.3881</v>
          </cell>
          <cell r="F482">
            <v>3</v>
          </cell>
          <cell r="G482">
            <v>9</v>
          </cell>
          <cell r="H482">
            <v>12</v>
          </cell>
        </row>
        <row r="483">
          <cell r="B483">
            <v>482</v>
          </cell>
          <cell r="C483">
            <v>3.0300000000000001E-2</v>
          </cell>
          <cell r="D483">
            <v>0.41</v>
          </cell>
          <cell r="E483">
            <v>0.25369999999999998</v>
          </cell>
          <cell r="F483">
            <v>0</v>
          </cell>
          <cell r="G483">
            <v>11</v>
          </cell>
          <cell r="H483">
            <v>11</v>
          </cell>
        </row>
        <row r="484">
          <cell r="B484">
            <v>483</v>
          </cell>
          <cell r="C484">
            <v>3.0300000000000001E-2</v>
          </cell>
          <cell r="D484">
            <v>0.41</v>
          </cell>
          <cell r="E484">
            <v>0.28360000000000002</v>
          </cell>
          <cell r="F484">
            <v>1</v>
          </cell>
          <cell r="G484">
            <v>6</v>
          </cell>
          <cell r="H484">
            <v>7</v>
          </cell>
        </row>
        <row r="485">
          <cell r="B485">
            <v>484</v>
          </cell>
          <cell r="C485">
            <v>1.52E-2</v>
          </cell>
          <cell r="D485">
            <v>0.48</v>
          </cell>
          <cell r="E485">
            <v>0.29849999999999999</v>
          </cell>
          <cell r="F485">
            <v>0</v>
          </cell>
          <cell r="G485">
            <v>3</v>
          </cell>
          <cell r="H485">
            <v>3</v>
          </cell>
        </row>
        <row r="486">
          <cell r="B486">
            <v>485</v>
          </cell>
          <cell r="C486">
            <v>3.0300000000000001E-2</v>
          </cell>
          <cell r="D486">
            <v>0.44</v>
          </cell>
          <cell r="E486">
            <v>0.22389999999999999</v>
          </cell>
          <cell r="F486">
            <v>0</v>
          </cell>
          <cell r="G486">
            <v>2</v>
          </cell>
          <cell r="H486">
            <v>2</v>
          </cell>
        </row>
        <row r="487">
          <cell r="B487">
            <v>486</v>
          </cell>
          <cell r="C487">
            <v>1.52E-2</v>
          </cell>
          <cell r="D487">
            <v>0.44</v>
          </cell>
          <cell r="E487">
            <v>0.28360000000000002</v>
          </cell>
          <cell r="F487">
            <v>0</v>
          </cell>
          <cell r="G487">
            <v>8</v>
          </cell>
          <cell r="H487">
            <v>8</v>
          </cell>
        </row>
        <row r="488">
          <cell r="B488">
            <v>487</v>
          </cell>
          <cell r="C488">
            <v>0</v>
          </cell>
          <cell r="D488">
            <v>0.44</v>
          </cell>
          <cell r="E488">
            <v>0.32840000000000003</v>
          </cell>
          <cell r="F488">
            <v>1</v>
          </cell>
          <cell r="G488">
            <v>26</v>
          </cell>
          <cell r="H488">
            <v>27</v>
          </cell>
        </row>
        <row r="489">
          <cell r="B489">
            <v>488</v>
          </cell>
          <cell r="C489">
            <v>3.0300000000000001E-2</v>
          </cell>
          <cell r="D489">
            <v>0.41</v>
          </cell>
          <cell r="E489">
            <v>0.25369999999999998</v>
          </cell>
          <cell r="F489">
            <v>3</v>
          </cell>
          <cell r="G489">
            <v>37</v>
          </cell>
          <cell r="H489">
            <v>40</v>
          </cell>
        </row>
        <row r="490">
          <cell r="B490">
            <v>489</v>
          </cell>
          <cell r="C490">
            <v>6.0600000000000001E-2</v>
          </cell>
          <cell r="D490">
            <v>0.41</v>
          </cell>
          <cell r="E490">
            <v>0.16420000000000001</v>
          </cell>
          <cell r="F490">
            <v>3</v>
          </cell>
          <cell r="G490">
            <v>50</v>
          </cell>
          <cell r="H490">
            <v>53</v>
          </cell>
        </row>
        <row r="491">
          <cell r="B491">
            <v>490</v>
          </cell>
          <cell r="C491">
            <v>7.5800000000000006E-2</v>
          </cell>
          <cell r="D491">
            <v>0.38</v>
          </cell>
          <cell r="E491">
            <v>0.1343</v>
          </cell>
          <cell r="F491">
            <v>4</v>
          </cell>
          <cell r="G491">
            <v>59</v>
          </cell>
          <cell r="H491">
            <v>63</v>
          </cell>
        </row>
        <row r="492">
          <cell r="B492">
            <v>491</v>
          </cell>
          <cell r="C492">
            <v>0.1061</v>
          </cell>
          <cell r="D492">
            <v>0.38</v>
          </cell>
          <cell r="E492">
            <v>0.1045</v>
          </cell>
          <cell r="F492">
            <v>10</v>
          </cell>
          <cell r="G492">
            <v>60</v>
          </cell>
          <cell r="H492">
            <v>70</v>
          </cell>
        </row>
        <row r="493">
          <cell r="B493">
            <v>492</v>
          </cell>
          <cell r="C493">
            <v>0.16669999999999999</v>
          </cell>
          <cell r="D493">
            <v>0.35</v>
          </cell>
          <cell r="E493">
            <v>0</v>
          </cell>
          <cell r="F493">
            <v>12</v>
          </cell>
          <cell r="G493">
            <v>72</v>
          </cell>
          <cell r="H493">
            <v>84</v>
          </cell>
        </row>
        <row r="494">
          <cell r="B494">
            <v>493</v>
          </cell>
          <cell r="C494">
            <v>0.13639999999999999</v>
          </cell>
          <cell r="D494">
            <v>0.33</v>
          </cell>
          <cell r="E494">
            <v>0.1045</v>
          </cell>
          <cell r="F494">
            <v>11</v>
          </cell>
          <cell r="G494">
            <v>64</v>
          </cell>
          <cell r="H494">
            <v>75</v>
          </cell>
        </row>
        <row r="495">
          <cell r="B495">
            <v>494</v>
          </cell>
          <cell r="C495">
            <v>0.1515</v>
          </cell>
          <cell r="D495">
            <v>0.28000000000000003</v>
          </cell>
          <cell r="E495">
            <v>0</v>
          </cell>
          <cell r="F495">
            <v>10</v>
          </cell>
          <cell r="G495">
            <v>93</v>
          </cell>
          <cell r="H495">
            <v>103</v>
          </cell>
        </row>
        <row r="496">
          <cell r="B496">
            <v>495</v>
          </cell>
          <cell r="C496">
            <v>0.13639999999999999</v>
          </cell>
          <cell r="D496">
            <v>0.28000000000000003</v>
          </cell>
          <cell r="E496">
            <v>0.19400000000000001</v>
          </cell>
          <cell r="F496">
            <v>11</v>
          </cell>
          <cell r="G496">
            <v>72</v>
          </cell>
          <cell r="H496">
            <v>83</v>
          </cell>
        </row>
        <row r="497">
          <cell r="B497">
            <v>496</v>
          </cell>
          <cell r="C497">
            <v>0.19700000000000001</v>
          </cell>
          <cell r="D497">
            <v>0.28000000000000003</v>
          </cell>
          <cell r="E497">
            <v>0</v>
          </cell>
          <cell r="F497">
            <v>8</v>
          </cell>
          <cell r="G497">
            <v>59</v>
          </cell>
          <cell r="H497">
            <v>67</v>
          </cell>
        </row>
        <row r="498">
          <cell r="B498">
            <v>497</v>
          </cell>
          <cell r="C498">
            <v>9.0899999999999995E-2</v>
          </cell>
          <cell r="D498">
            <v>0.35</v>
          </cell>
          <cell r="E498">
            <v>0.19400000000000001</v>
          </cell>
          <cell r="F498">
            <v>0</v>
          </cell>
          <cell r="G498">
            <v>54</v>
          </cell>
          <cell r="H498">
            <v>54</v>
          </cell>
        </row>
        <row r="499">
          <cell r="B499">
            <v>498</v>
          </cell>
          <cell r="C499">
            <v>0.1061</v>
          </cell>
          <cell r="D499">
            <v>0.35</v>
          </cell>
          <cell r="E499">
            <v>0.1343</v>
          </cell>
          <cell r="F499">
            <v>6</v>
          </cell>
          <cell r="G499">
            <v>53</v>
          </cell>
          <cell r="H499">
            <v>59</v>
          </cell>
        </row>
        <row r="500">
          <cell r="B500">
            <v>499</v>
          </cell>
          <cell r="C500">
            <v>7.5800000000000006E-2</v>
          </cell>
          <cell r="D500">
            <v>0.45</v>
          </cell>
          <cell r="E500">
            <v>0.16420000000000001</v>
          </cell>
          <cell r="F500">
            <v>1</v>
          </cell>
          <cell r="G500">
            <v>44</v>
          </cell>
          <cell r="H500">
            <v>45</v>
          </cell>
        </row>
        <row r="501">
          <cell r="B501">
            <v>500</v>
          </cell>
          <cell r="C501">
            <v>0.1061</v>
          </cell>
          <cell r="D501">
            <v>0.41</v>
          </cell>
          <cell r="E501">
            <v>8.9599999999999999E-2</v>
          </cell>
          <cell r="F501">
            <v>0</v>
          </cell>
          <cell r="G501">
            <v>39</v>
          </cell>
          <cell r="H501">
            <v>39</v>
          </cell>
        </row>
        <row r="502">
          <cell r="B502">
            <v>501</v>
          </cell>
          <cell r="C502">
            <v>0.1515</v>
          </cell>
          <cell r="D502">
            <v>0.49</v>
          </cell>
          <cell r="E502">
            <v>0</v>
          </cell>
          <cell r="F502">
            <v>7</v>
          </cell>
          <cell r="G502">
            <v>23</v>
          </cell>
          <cell r="H502">
            <v>30</v>
          </cell>
        </row>
        <row r="503">
          <cell r="B503">
            <v>502</v>
          </cell>
          <cell r="C503">
            <v>7.5800000000000006E-2</v>
          </cell>
          <cell r="D503">
            <v>0.56999999999999995</v>
          </cell>
          <cell r="E503">
            <v>0.1045</v>
          </cell>
          <cell r="F503">
            <v>2</v>
          </cell>
          <cell r="G503">
            <v>31</v>
          </cell>
          <cell r="H503">
            <v>33</v>
          </cell>
        </row>
        <row r="504">
          <cell r="B504">
            <v>503</v>
          </cell>
          <cell r="C504">
            <v>7.5800000000000006E-2</v>
          </cell>
          <cell r="D504">
            <v>0.56999999999999995</v>
          </cell>
          <cell r="E504">
            <v>0.1045</v>
          </cell>
          <cell r="F504">
            <v>2</v>
          </cell>
          <cell r="G504">
            <v>20</v>
          </cell>
          <cell r="H504">
            <v>22</v>
          </cell>
        </row>
        <row r="505">
          <cell r="B505">
            <v>504</v>
          </cell>
          <cell r="C505">
            <v>7.5800000000000006E-2</v>
          </cell>
          <cell r="D505">
            <v>0.56999999999999995</v>
          </cell>
          <cell r="E505">
            <v>0.1045</v>
          </cell>
          <cell r="F505">
            <v>1</v>
          </cell>
          <cell r="G505">
            <v>12</v>
          </cell>
          <cell r="H505">
            <v>13</v>
          </cell>
        </row>
        <row r="506">
          <cell r="B506">
            <v>505</v>
          </cell>
          <cell r="C506">
            <v>6.0600000000000001E-2</v>
          </cell>
          <cell r="D506">
            <v>0.62</v>
          </cell>
          <cell r="E506">
            <v>0.1343</v>
          </cell>
          <cell r="F506">
            <v>3</v>
          </cell>
          <cell r="G506">
            <v>15</v>
          </cell>
          <cell r="H506">
            <v>18</v>
          </cell>
        </row>
        <row r="507">
          <cell r="B507">
            <v>506</v>
          </cell>
          <cell r="C507">
            <v>6.0600000000000001E-2</v>
          </cell>
          <cell r="D507">
            <v>0.62</v>
          </cell>
          <cell r="E507">
            <v>0.1343</v>
          </cell>
          <cell r="F507">
            <v>1</v>
          </cell>
          <cell r="G507">
            <v>4</v>
          </cell>
          <cell r="H507">
            <v>5</v>
          </cell>
        </row>
        <row r="508">
          <cell r="B508">
            <v>507</v>
          </cell>
          <cell r="C508">
            <v>7.5800000000000006E-2</v>
          </cell>
          <cell r="D508">
            <v>0.56999999999999995</v>
          </cell>
          <cell r="E508">
            <v>0.1045</v>
          </cell>
          <cell r="F508">
            <v>0</v>
          </cell>
          <cell r="G508">
            <v>3</v>
          </cell>
          <cell r="H508">
            <v>3</v>
          </cell>
        </row>
        <row r="509">
          <cell r="B509">
            <v>508</v>
          </cell>
          <cell r="C509">
            <v>7.5800000000000006E-2</v>
          </cell>
          <cell r="D509">
            <v>0.56999999999999995</v>
          </cell>
          <cell r="E509">
            <v>0.1045</v>
          </cell>
          <cell r="F509">
            <v>0</v>
          </cell>
          <cell r="G509">
            <v>1</v>
          </cell>
          <cell r="H509">
            <v>1</v>
          </cell>
        </row>
        <row r="510">
          <cell r="B510">
            <v>509</v>
          </cell>
          <cell r="C510">
            <v>0.1061</v>
          </cell>
          <cell r="D510">
            <v>0.57999999999999996</v>
          </cell>
          <cell r="E510">
            <v>0.16420000000000001</v>
          </cell>
          <cell r="F510">
            <v>1</v>
          </cell>
          <cell r="G510">
            <v>1</v>
          </cell>
          <cell r="H510">
            <v>2</v>
          </cell>
        </row>
        <row r="511">
          <cell r="B511">
            <v>510</v>
          </cell>
          <cell r="C511">
            <v>7.5800000000000006E-2</v>
          </cell>
          <cell r="D511">
            <v>0.62</v>
          </cell>
          <cell r="E511">
            <v>0.16420000000000001</v>
          </cell>
          <cell r="F511">
            <v>2</v>
          </cell>
          <cell r="G511">
            <v>17</v>
          </cell>
          <cell r="H511">
            <v>19</v>
          </cell>
        </row>
        <row r="512">
          <cell r="B512">
            <v>511</v>
          </cell>
          <cell r="C512">
            <v>7.5800000000000006E-2</v>
          </cell>
          <cell r="D512">
            <v>0.54</v>
          </cell>
          <cell r="E512">
            <v>0.35820000000000002</v>
          </cell>
          <cell r="F512">
            <v>3</v>
          </cell>
          <cell r="G512">
            <v>25</v>
          </cell>
          <cell r="H512">
            <v>28</v>
          </cell>
        </row>
        <row r="513">
          <cell r="B513">
            <v>512</v>
          </cell>
          <cell r="C513">
            <v>0.1061</v>
          </cell>
          <cell r="D513">
            <v>0.46</v>
          </cell>
          <cell r="E513">
            <v>0.3881</v>
          </cell>
          <cell r="F513">
            <v>7</v>
          </cell>
          <cell r="G513">
            <v>51</v>
          </cell>
          <cell r="H513">
            <v>58</v>
          </cell>
        </row>
        <row r="514">
          <cell r="B514">
            <v>513</v>
          </cell>
          <cell r="C514">
            <v>0.13639999999999999</v>
          </cell>
          <cell r="D514">
            <v>0.43</v>
          </cell>
          <cell r="E514">
            <v>0.22389999999999999</v>
          </cell>
          <cell r="F514">
            <v>22</v>
          </cell>
          <cell r="G514">
            <v>77</v>
          </cell>
          <cell r="H514">
            <v>99</v>
          </cell>
        </row>
        <row r="515">
          <cell r="B515">
            <v>514</v>
          </cell>
          <cell r="C515">
            <v>0.1212</v>
          </cell>
          <cell r="D515">
            <v>0.37</v>
          </cell>
          <cell r="E515">
            <v>0.4627</v>
          </cell>
          <cell r="F515">
            <v>24</v>
          </cell>
          <cell r="G515">
            <v>92</v>
          </cell>
          <cell r="H515">
            <v>116</v>
          </cell>
        </row>
        <row r="516">
          <cell r="B516">
            <v>515</v>
          </cell>
          <cell r="C516">
            <v>0.1061</v>
          </cell>
          <cell r="D516">
            <v>0.33</v>
          </cell>
          <cell r="E516">
            <v>0.3881</v>
          </cell>
          <cell r="F516">
            <v>12</v>
          </cell>
          <cell r="G516">
            <v>75</v>
          </cell>
          <cell r="H516">
            <v>87</v>
          </cell>
        </row>
        <row r="517">
          <cell r="B517">
            <v>516</v>
          </cell>
          <cell r="C517">
            <v>0.13639999999999999</v>
          </cell>
          <cell r="D517">
            <v>0.28000000000000003</v>
          </cell>
          <cell r="E517">
            <v>0.35820000000000002</v>
          </cell>
          <cell r="F517">
            <v>17</v>
          </cell>
          <cell r="G517">
            <v>93</v>
          </cell>
          <cell r="H517">
            <v>110</v>
          </cell>
        </row>
        <row r="518">
          <cell r="B518">
            <v>517</v>
          </cell>
          <cell r="C518">
            <v>0.13639999999999999</v>
          </cell>
          <cell r="D518">
            <v>0.28000000000000003</v>
          </cell>
          <cell r="E518">
            <v>0.35820000000000002</v>
          </cell>
          <cell r="F518">
            <v>13</v>
          </cell>
          <cell r="G518">
            <v>64</v>
          </cell>
          <cell r="H518">
            <v>77</v>
          </cell>
        </row>
        <row r="519">
          <cell r="B519">
            <v>518</v>
          </cell>
          <cell r="C519">
            <v>0.13639999999999999</v>
          </cell>
          <cell r="D519">
            <v>0.26</v>
          </cell>
          <cell r="E519">
            <v>0.32840000000000003</v>
          </cell>
          <cell r="F519">
            <v>9</v>
          </cell>
          <cell r="G519">
            <v>56</v>
          </cell>
          <cell r="H519">
            <v>65</v>
          </cell>
        </row>
        <row r="520">
          <cell r="B520">
            <v>519</v>
          </cell>
          <cell r="C520">
            <v>0.1061</v>
          </cell>
          <cell r="D520">
            <v>0.26</v>
          </cell>
          <cell r="E520">
            <v>0.3881</v>
          </cell>
          <cell r="F520">
            <v>5</v>
          </cell>
          <cell r="G520">
            <v>50</v>
          </cell>
          <cell r="H520">
            <v>55</v>
          </cell>
        </row>
        <row r="521">
          <cell r="B521">
            <v>520</v>
          </cell>
          <cell r="C521">
            <v>0.1212</v>
          </cell>
          <cell r="D521">
            <v>0.3</v>
          </cell>
          <cell r="E521">
            <v>0.25369999999999998</v>
          </cell>
          <cell r="F521">
            <v>5</v>
          </cell>
          <cell r="G521">
            <v>44</v>
          </cell>
          <cell r="H521">
            <v>49</v>
          </cell>
        </row>
        <row r="522">
          <cell r="B522">
            <v>521</v>
          </cell>
          <cell r="C522">
            <v>0.1212</v>
          </cell>
          <cell r="D522">
            <v>0.3</v>
          </cell>
          <cell r="E522">
            <v>0.28360000000000002</v>
          </cell>
          <cell r="F522">
            <v>5</v>
          </cell>
          <cell r="G522">
            <v>45</v>
          </cell>
          <cell r="H522">
            <v>50</v>
          </cell>
        </row>
        <row r="523">
          <cell r="B523">
            <v>522</v>
          </cell>
          <cell r="C523">
            <v>0.1061</v>
          </cell>
          <cell r="D523">
            <v>0.36</v>
          </cell>
          <cell r="E523">
            <v>0.25369999999999998</v>
          </cell>
          <cell r="F523">
            <v>4</v>
          </cell>
          <cell r="G523">
            <v>31</v>
          </cell>
          <cell r="H523">
            <v>35</v>
          </cell>
        </row>
        <row r="524">
          <cell r="B524">
            <v>523</v>
          </cell>
          <cell r="C524">
            <v>0.1061</v>
          </cell>
          <cell r="D524">
            <v>0.36</v>
          </cell>
          <cell r="E524">
            <v>0.19400000000000001</v>
          </cell>
          <cell r="F524">
            <v>5</v>
          </cell>
          <cell r="G524">
            <v>20</v>
          </cell>
          <cell r="H524">
            <v>25</v>
          </cell>
        </row>
        <row r="525">
          <cell r="B525">
            <v>524</v>
          </cell>
          <cell r="C525">
            <v>9.0899999999999995E-2</v>
          </cell>
          <cell r="D525">
            <v>0.38</v>
          </cell>
          <cell r="E525">
            <v>0.19400000000000001</v>
          </cell>
          <cell r="F525">
            <v>5</v>
          </cell>
          <cell r="G525">
            <v>23</v>
          </cell>
          <cell r="H525">
            <v>28</v>
          </cell>
        </row>
        <row r="526">
          <cell r="B526">
            <v>525</v>
          </cell>
          <cell r="C526">
            <v>6.0600000000000001E-2</v>
          </cell>
          <cell r="D526">
            <v>0.41</v>
          </cell>
          <cell r="E526">
            <v>0.22389999999999999</v>
          </cell>
          <cell r="F526">
            <v>4</v>
          </cell>
          <cell r="G526">
            <v>17</v>
          </cell>
          <cell r="H526">
            <v>21</v>
          </cell>
        </row>
        <row r="527">
          <cell r="B527">
            <v>526</v>
          </cell>
          <cell r="C527">
            <v>6.0600000000000001E-2</v>
          </cell>
          <cell r="D527">
            <v>0.41</v>
          </cell>
          <cell r="E527">
            <v>0.19400000000000001</v>
          </cell>
          <cell r="F527">
            <v>0</v>
          </cell>
          <cell r="G527">
            <v>7</v>
          </cell>
          <cell r="H527">
            <v>7</v>
          </cell>
        </row>
        <row r="528">
          <cell r="B528">
            <v>527</v>
          </cell>
          <cell r="C528">
            <v>4.5499999999999999E-2</v>
          </cell>
          <cell r="D528">
            <v>0.45</v>
          </cell>
          <cell r="E528">
            <v>0.19400000000000001</v>
          </cell>
          <cell r="F528">
            <v>0</v>
          </cell>
          <cell r="G528">
            <v>1</v>
          </cell>
          <cell r="H528">
            <v>1</v>
          </cell>
        </row>
        <row r="529">
          <cell r="B529">
            <v>528</v>
          </cell>
          <cell r="C529">
            <v>3.0300000000000001E-2</v>
          </cell>
          <cell r="D529">
            <v>0.45</v>
          </cell>
          <cell r="E529">
            <v>0.25369999999999998</v>
          </cell>
          <cell r="F529">
            <v>0</v>
          </cell>
          <cell r="G529">
            <v>1</v>
          </cell>
          <cell r="H529">
            <v>1</v>
          </cell>
        </row>
        <row r="530">
          <cell r="B530">
            <v>529</v>
          </cell>
          <cell r="C530">
            <v>6.0600000000000001E-2</v>
          </cell>
          <cell r="D530">
            <v>0.48</v>
          </cell>
          <cell r="E530">
            <v>0.1343</v>
          </cell>
          <cell r="F530">
            <v>0</v>
          </cell>
          <cell r="G530">
            <v>1</v>
          </cell>
          <cell r="H530">
            <v>1</v>
          </cell>
        </row>
        <row r="531">
          <cell r="B531">
            <v>530</v>
          </cell>
          <cell r="C531">
            <v>6.0600000000000001E-2</v>
          </cell>
          <cell r="D531">
            <v>0.48</v>
          </cell>
          <cell r="E531">
            <v>0.1343</v>
          </cell>
          <cell r="F531">
            <v>0</v>
          </cell>
          <cell r="G531">
            <v>5</v>
          </cell>
          <cell r="H531">
            <v>5</v>
          </cell>
        </row>
        <row r="532">
          <cell r="B532">
            <v>531</v>
          </cell>
          <cell r="C532">
            <v>7.5800000000000006E-2</v>
          </cell>
          <cell r="D532">
            <v>0.48</v>
          </cell>
          <cell r="E532">
            <v>8.9599999999999999E-2</v>
          </cell>
          <cell r="F532">
            <v>0</v>
          </cell>
          <cell r="G532">
            <v>15</v>
          </cell>
          <cell r="H532">
            <v>15</v>
          </cell>
        </row>
        <row r="533">
          <cell r="B533">
            <v>532</v>
          </cell>
          <cell r="C533">
            <v>0.1212</v>
          </cell>
          <cell r="D533">
            <v>0.48</v>
          </cell>
          <cell r="E533">
            <v>0</v>
          </cell>
          <cell r="F533">
            <v>5</v>
          </cell>
          <cell r="G533">
            <v>79</v>
          </cell>
          <cell r="H533">
            <v>84</v>
          </cell>
        </row>
        <row r="534">
          <cell r="B534">
            <v>533</v>
          </cell>
          <cell r="C534">
            <v>0.13639999999999999</v>
          </cell>
          <cell r="D534">
            <v>0.49</v>
          </cell>
          <cell r="E534">
            <v>0</v>
          </cell>
          <cell r="F534">
            <v>6</v>
          </cell>
          <cell r="G534">
            <v>171</v>
          </cell>
          <cell r="H534">
            <v>177</v>
          </cell>
        </row>
        <row r="535">
          <cell r="B535">
            <v>534</v>
          </cell>
          <cell r="C535">
            <v>0.1515</v>
          </cell>
          <cell r="D535">
            <v>0.41</v>
          </cell>
          <cell r="E535">
            <v>0</v>
          </cell>
          <cell r="F535">
            <v>4</v>
          </cell>
          <cell r="G535">
            <v>98</v>
          </cell>
          <cell r="H535">
            <v>102</v>
          </cell>
        </row>
        <row r="536">
          <cell r="B536">
            <v>535</v>
          </cell>
          <cell r="C536">
            <v>0.13639999999999999</v>
          </cell>
          <cell r="D536">
            <v>0.42</v>
          </cell>
          <cell r="E536">
            <v>0</v>
          </cell>
          <cell r="F536">
            <v>6</v>
          </cell>
          <cell r="G536">
            <v>34</v>
          </cell>
          <cell r="H536">
            <v>40</v>
          </cell>
        </row>
        <row r="537">
          <cell r="B537">
            <v>536</v>
          </cell>
          <cell r="C537">
            <v>0.1212</v>
          </cell>
          <cell r="D537">
            <v>0.46</v>
          </cell>
          <cell r="E537">
            <v>0.1343</v>
          </cell>
          <cell r="F537">
            <v>3</v>
          </cell>
          <cell r="G537">
            <v>43</v>
          </cell>
          <cell r="H537">
            <v>46</v>
          </cell>
        </row>
        <row r="538">
          <cell r="B538">
            <v>537</v>
          </cell>
          <cell r="C538">
            <v>0.13639999999999999</v>
          </cell>
          <cell r="D538">
            <v>0.42</v>
          </cell>
          <cell r="E538">
            <v>0.19400000000000001</v>
          </cell>
          <cell r="F538">
            <v>11</v>
          </cell>
          <cell r="G538">
            <v>52</v>
          </cell>
          <cell r="H538">
            <v>63</v>
          </cell>
        </row>
        <row r="539">
          <cell r="B539">
            <v>538</v>
          </cell>
          <cell r="C539">
            <v>0.13639999999999999</v>
          </cell>
          <cell r="D539">
            <v>0.43</v>
          </cell>
          <cell r="E539">
            <v>0.22389999999999999</v>
          </cell>
          <cell r="F539">
            <v>6</v>
          </cell>
          <cell r="G539">
            <v>54</v>
          </cell>
          <cell r="H539">
            <v>60</v>
          </cell>
        </row>
        <row r="540">
          <cell r="B540">
            <v>539</v>
          </cell>
          <cell r="C540">
            <v>0.13639999999999999</v>
          </cell>
          <cell r="D540">
            <v>0.46</v>
          </cell>
          <cell r="E540">
            <v>0.22389999999999999</v>
          </cell>
          <cell r="F540">
            <v>2</v>
          </cell>
          <cell r="G540">
            <v>43</v>
          </cell>
          <cell r="H540">
            <v>45</v>
          </cell>
        </row>
        <row r="541">
          <cell r="B541">
            <v>540</v>
          </cell>
          <cell r="C541">
            <v>0.16669999999999999</v>
          </cell>
          <cell r="D541">
            <v>0.4</v>
          </cell>
          <cell r="E541">
            <v>0.16420000000000001</v>
          </cell>
          <cell r="F541">
            <v>7</v>
          </cell>
          <cell r="G541">
            <v>50</v>
          </cell>
          <cell r="H541">
            <v>57</v>
          </cell>
        </row>
        <row r="542">
          <cell r="B542">
            <v>541</v>
          </cell>
          <cell r="C542">
            <v>0.1515</v>
          </cell>
          <cell r="D542">
            <v>0.47</v>
          </cell>
          <cell r="E542">
            <v>0.25369999999999998</v>
          </cell>
          <cell r="F542">
            <v>4</v>
          </cell>
          <cell r="G542">
            <v>66</v>
          </cell>
          <cell r="H542">
            <v>70</v>
          </cell>
        </row>
        <row r="543">
          <cell r="B543">
            <v>542</v>
          </cell>
          <cell r="C543">
            <v>0.1212</v>
          </cell>
          <cell r="D543">
            <v>0.5</v>
          </cell>
          <cell r="E543">
            <v>0.25369999999999998</v>
          </cell>
          <cell r="F543">
            <v>6</v>
          </cell>
          <cell r="G543">
            <v>178</v>
          </cell>
          <cell r="H543">
            <v>184</v>
          </cell>
        </row>
        <row r="544">
          <cell r="B544">
            <v>543</v>
          </cell>
          <cell r="C544">
            <v>0.13639999999999999</v>
          </cell>
          <cell r="D544">
            <v>0.59</v>
          </cell>
          <cell r="E544">
            <v>0.19400000000000001</v>
          </cell>
          <cell r="F544">
            <v>8</v>
          </cell>
          <cell r="G544">
            <v>145</v>
          </cell>
          <cell r="H544">
            <v>153</v>
          </cell>
        </row>
        <row r="545">
          <cell r="B545">
            <v>544</v>
          </cell>
          <cell r="C545">
            <v>0.1515</v>
          </cell>
          <cell r="D545">
            <v>0.54</v>
          </cell>
          <cell r="E545">
            <v>0.16420000000000001</v>
          </cell>
          <cell r="F545">
            <v>5</v>
          </cell>
          <cell r="G545">
            <v>101</v>
          </cell>
          <cell r="H545">
            <v>106</v>
          </cell>
        </row>
        <row r="546">
          <cell r="B546">
            <v>545</v>
          </cell>
          <cell r="C546">
            <v>0.13639999999999999</v>
          </cell>
          <cell r="D546">
            <v>0.59</v>
          </cell>
          <cell r="E546">
            <v>0.19400000000000001</v>
          </cell>
          <cell r="F546">
            <v>1</v>
          </cell>
          <cell r="G546">
            <v>80</v>
          </cell>
          <cell r="H546">
            <v>81</v>
          </cell>
        </row>
        <row r="547">
          <cell r="B547">
            <v>546</v>
          </cell>
          <cell r="C547">
            <v>0.1515</v>
          </cell>
          <cell r="D547">
            <v>0.63</v>
          </cell>
          <cell r="E547">
            <v>0.16420000000000001</v>
          </cell>
          <cell r="F547">
            <v>6</v>
          </cell>
          <cell r="G547">
            <v>53</v>
          </cell>
          <cell r="H547">
            <v>59</v>
          </cell>
        </row>
        <row r="548">
          <cell r="B548">
            <v>547</v>
          </cell>
          <cell r="C548">
            <v>0.13639999999999999</v>
          </cell>
          <cell r="D548">
            <v>0.63</v>
          </cell>
          <cell r="E548">
            <v>0.22389999999999999</v>
          </cell>
          <cell r="F548">
            <v>3</v>
          </cell>
          <cell r="G548">
            <v>32</v>
          </cell>
          <cell r="H548">
            <v>35</v>
          </cell>
        </row>
        <row r="549">
          <cell r="B549">
            <v>548</v>
          </cell>
          <cell r="C549">
            <v>0.1515</v>
          </cell>
          <cell r="D549">
            <v>0.64</v>
          </cell>
          <cell r="E549">
            <v>0.25369999999999998</v>
          </cell>
          <cell r="F549">
            <v>3</v>
          </cell>
          <cell r="G549">
            <v>21</v>
          </cell>
          <cell r="H549">
            <v>24</v>
          </cell>
        </row>
        <row r="550">
          <cell r="B550">
            <v>549</v>
          </cell>
          <cell r="C550">
            <v>0.13639999999999999</v>
          </cell>
          <cell r="D550">
            <v>0.69</v>
          </cell>
          <cell r="E550">
            <v>0.28360000000000002</v>
          </cell>
          <cell r="F550">
            <v>3</v>
          </cell>
          <cell r="G550">
            <v>6</v>
          </cell>
          <cell r="H550">
            <v>9</v>
          </cell>
        </row>
        <row r="551">
          <cell r="B551">
            <v>550</v>
          </cell>
          <cell r="C551">
            <v>0.16669999999999999</v>
          </cell>
          <cell r="D551">
            <v>0.69</v>
          </cell>
          <cell r="E551">
            <v>0.16420000000000001</v>
          </cell>
          <cell r="F551">
            <v>0</v>
          </cell>
          <cell r="G551">
            <v>5</v>
          </cell>
          <cell r="H551">
            <v>5</v>
          </cell>
        </row>
        <row r="552">
          <cell r="B552">
            <v>551</v>
          </cell>
          <cell r="C552">
            <v>0.1515</v>
          </cell>
          <cell r="D552">
            <v>0.69</v>
          </cell>
          <cell r="E552">
            <v>0.22389999999999999</v>
          </cell>
          <cell r="F552">
            <v>0</v>
          </cell>
          <cell r="G552">
            <v>2</v>
          </cell>
          <cell r="H552">
            <v>2</v>
          </cell>
        </row>
        <row r="553">
          <cell r="B553">
            <v>552</v>
          </cell>
          <cell r="C553">
            <v>0.16669999999999999</v>
          </cell>
          <cell r="D553">
            <v>0.74</v>
          </cell>
          <cell r="E553">
            <v>0.1045</v>
          </cell>
          <cell r="F553">
            <v>0</v>
          </cell>
          <cell r="G553">
            <v>1</v>
          </cell>
          <cell r="H553">
            <v>1</v>
          </cell>
        </row>
        <row r="554">
          <cell r="B554">
            <v>553</v>
          </cell>
          <cell r="C554">
            <v>0.13639999999999999</v>
          </cell>
          <cell r="D554">
            <v>0.74</v>
          </cell>
          <cell r="E554">
            <v>0.22389999999999999</v>
          </cell>
          <cell r="F554">
            <v>0</v>
          </cell>
          <cell r="G554">
            <v>9</v>
          </cell>
          <cell r="H554">
            <v>9</v>
          </cell>
        </row>
        <row r="555">
          <cell r="B555">
            <v>554</v>
          </cell>
          <cell r="C555">
            <v>0.18179999999999999</v>
          </cell>
          <cell r="D555">
            <v>0.74</v>
          </cell>
          <cell r="E555">
            <v>0.1045</v>
          </cell>
          <cell r="F555">
            <v>1</v>
          </cell>
          <cell r="G555">
            <v>35</v>
          </cell>
          <cell r="H555">
            <v>36</v>
          </cell>
        </row>
        <row r="556">
          <cell r="B556">
            <v>555</v>
          </cell>
          <cell r="C556">
            <v>0.1515</v>
          </cell>
          <cell r="D556">
            <v>0.74</v>
          </cell>
          <cell r="E556">
            <v>0.22389999999999999</v>
          </cell>
          <cell r="F556">
            <v>5</v>
          </cell>
          <cell r="G556">
            <v>103</v>
          </cell>
          <cell r="H556">
            <v>108</v>
          </cell>
        </row>
        <row r="557">
          <cell r="B557">
            <v>556</v>
          </cell>
          <cell r="C557">
            <v>0.18179999999999999</v>
          </cell>
          <cell r="D557">
            <v>0.74</v>
          </cell>
          <cell r="E557">
            <v>0.1343</v>
          </cell>
          <cell r="F557">
            <v>5</v>
          </cell>
          <cell r="G557">
            <v>233</v>
          </cell>
          <cell r="H557">
            <v>238</v>
          </cell>
        </row>
        <row r="558">
          <cell r="B558">
            <v>557</v>
          </cell>
          <cell r="C558">
            <v>0.2273</v>
          </cell>
          <cell r="D558">
            <v>0.64</v>
          </cell>
          <cell r="E558">
            <v>8.9599999999999999E-2</v>
          </cell>
          <cell r="F558">
            <v>10</v>
          </cell>
          <cell r="G558">
            <v>134</v>
          </cell>
          <cell r="H558">
            <v>144</v>
          </cell>
        </row>
        <row r="559">
          <cell r="B559">
            <v>558</v>
          </cell>
          <cell r="C559">
            <v>0.2424</v>
          </cell>
          <cell r="D559">
            <v>0.6</v>
          </cell>
          <cell r="E559">
            <v>0.1045</v>
          </cell>
          <cell r="F559">
            <v>6</v>
          </cell>
          <cell r="G559">
            <v>49</v>
          </cell>
          <cell r="H559">
            <v>55</v>
          </cell>
        </row>
        <row r="560">
          <cell r="B560">
            <v>559</v>
          </cell>
          <cell r="C560">
            <v>0.2424</v>
          </cell>
          <cell r="D560">
            <v>0.6</v>
          </cell>
          <cell r="E560">
            <v>0.1343</v>
          </cell>
          <cell r="F560">
            <v>6</v>
          </cell>
          <cell r="G560">
            <v>55</v>
          </cell>
          <cell r="H560">
            <v>61</v>
          </cell>
        </row>
        <row r="561">
          <cell r="B561">
            <v>560</v>
          </cell>
          <cell r="C561">
            <v>0.28789999999999999</v>
          </cell>
          <cell r="D561">
            <v>0.56000000000000005</v>
          </cell>
          <cell r="E561">
            <v>8.9599999999999999E-2</v>
          </cell>
          <cell r="F561">
            <v>21</v>
          </cell>
          <cell r="G561">
            <v>85</v>
          </cell>
          <cell r="H561">
            <v>106</v>
          </cell>
        </row>
        <row r="562">
          <cell r="B562">
            <v>561</v>
          </cell>
          <cell r="C562">
            <v>0.2727</v>
          </cell>
          <cell r="D562">
            <v>0.56000000000000005</v>
          </cell>
          <cell r="E562">
            <v>0.1343</v>
          </cell>
          <cell r="F562">
            <v>21</v>
          </cell>
          <cell r="G562">
            <v>72</v>
          </cell>
          <cell r="H562">
            <v>93</v>
          </cell>
        </row>
        <row r="563">
          <cell r="B563">
            <v>562</v>
          </cell>
          <cell r="C563">
            <v>0.33329999999999999</v>
          </cell>
          <cell r="D563">
            <v>0.45</v>
          </cell>
          <cell r="E563">
            <v>0</v>
          </cell>
          <cell r="F563">
            <v>11</v>
          </cell>
          <cell r="G563">
            <v>57</v>
          </cell>
          <cell r="H563">
            <v>68</v>
          </cell>
        </row>
        <row r="564">
          <cell r="B564">
            <v>563</v>
          </cell>
          <cell r="C564">
            <v>0.34849999999999998</v>
          </cell>
          <cell r="D564">
            <v>0.42</v>
          </cell>
          <cell r="E564">
            <v>0</v>
          </cell>
          <cell r="F564">
            <v>21</v>
          </cell>
          <cell r="G564">
            <v>63</v>
          </cell>
          <cell r="H564">
            <v>84</v>
          </cell>
        </row>
        <row r="565">
          <cell r="B565">
            <v>564</v>
          </cell>
          <cell r="C565">
            <v>0.34849999999999998</v>
          </cell>
          <cell r="D565">
            <v>0.42</v>
          </cell>
          <cell r="E565">
            <v>0</v>
          </cell>
          <cell r="F565">
            <v>14</v>
          </cell>
          <cell r="G565">
            <v>102</v>
          </cell>
          <cell r="H565">
            <v>116</v>
          </cell>
        </row>
        <row r="566">
          <cell r="B566">
            <v>565</v>
          </cell>
          <cell r="C566">
            <v>0.33329999999999999</v>
          </cell>
          <cell r="D566">
            <v>0.45</v>
          </cell>
          <cell r="E566">
            <v>0</v>
          </cell>
          <cell r="F566">
            <v>14</v>
          </cell>
          <cell r="G566">
            <v>208</v>
          </cell>
          <cell r="H566">
            <v>222</v>
          </cell>
        </row>
        <row r="567">
          <cell r="B567">
            <v>566</v>
          </cell>
          <cell r="C567">
            <v>0.31819999999999998</v>
          </cell>
          <cell r="D567">
            <v>0.49</v>
          </cell>
          <cell r="E567">
            <v>8.9599999999999999E-2</v>
          </cell>
          <cell r="F567">
            <v>7</v>
          </cell>
          <cell r="G567">
            <v>218</v>
          </cell>
          <cell r="H567">
            <v>225</v>
          </cell>
        </row>
        <row r="568">
          <cell r="B568">
            <v>567</v>
          </cell>
          <cell r="C568">
            <v>0.2576</v>
          </cell>
          <cell r="D568">
            <v>0.65</v>
          </cell>
          <cell r="E568">
            <v>0.16420000000000001</v>
          </cell>
          <cell r="F568">
            <v>13</v>
          </cell>
          <cell r="G568">
            <v>133</v>
          </cell>
          <cell r="H568">
            <v>146</v>
          </cell>
        </row>
        <row r="569">
          <cell r="B569">
            <v>568</v>
          </cell>
          <cell r="C569">
            <v>0.2273</v>
          </cell>
          <cell r="D569">
            <v>0.65</v>
          </cell>
          <cell r="E569">
            <v>0.19400000000000001</v>
          </cell>
          <cell r="F569">
            <v>16</v>
          </cell>
          <cell r="G569">
            <v>103</v>
          </cell>
          <cell r="H569">
            <v>119</v>
          </cell>
        </row>
        <row r="570">
          <cell r="B570">
            <v>569</v>
          </cell>
          <cell r="C570">
            <v>0.2273</v>
          </cell>
          <cell r="D570">
            <v>0.65</v>
          </cell>
          <cell r="E570">
            <v>0.19400000000000001</v>
          </cell>
          <cell r="F570">
            <v>5</v>
          </cell>
          <cell r="G570">
            <v>40</v>
          </cell>
          <cell r="H570">
            <v>45</v>
          </cell>
        </row>
        <row r="571">
          <cell r="B571">
            <v>570</v>
          </cell>
          <cell r="C571">
            <v>0.2273</v>
          </cell>
          <cell r="D571">
            <v>0.64</v>
          </cell>
          <cell r="E571">
            <v>0.16420000000000001</v>
          </cell>
          <cell r="F571">
            <v>4</v>
          </cell>
          <cell r="G571">
            <v>49</v>
          </cell>
          <cell r="H571">
            <v>53</v>
          </cell>
        </row>
        <row r="572">
          <cell r="B572">
            <v>571</v>
          </cell>
          <cell r="C572">
            <v>0.2273</v>
          </cell>
          <cell r="D572">
            <v>0.64</v>
          </cell>
          <cell r="E572">
            <v>0.16420000000000001</v>
          </cell>
          <cell r="F572">
            <v>3</v>
          </cell>
          <cell r="G572">
            <v>37</v>
          </cell>
          <cell r="H572">
            <v>40</v>
          </cell>
        </row>
        <row r="573">
          <cell r="B573">
            <v>572</v>
          </cell>
          <cell r="C573">
            <v>0.2273</v>
          </cell>
          <cell r="D573">
            <v>0.69</v>
          </cell>
          <cell r="E573">
            <v>0.1343</v>
          </cell>
          <cell r="F573">
            <v>3</v>
          </cell>
          <cell r="G573">
            <v>14</v>
          </cell>
          <cell r="H573">
            <v>17</v>
          </cell>
        </row>
        <row r="574">
          <cell r="B574">
            <v>573</v>
          </cell>
          <cell r="C574">
            <v>0.2424</v>
          </cell>
          <cell r="D574">
            <v>0.65</v>
          </cell>
          <cell r="E574">
            <v>0.1343</v>
          </cell>
          <cell r="F574">
            <v>0</v>
          </cell>
          <cell r="G574">
            <v>5</v>
          </cell>
          <cell r="H574">
            <v>5</v>
          </cell>
        </row>
        <row r="575">
          <cell r="B575">
            <v>574</v>
          </cell>
          <cell r="C575">
            <v>0.2273</v>
          </cell>
          <cell r="D575">
            <v>0.69</v>
          </cell>
          <cell r="E575">
            <v>0.19400000000000001</v>
          </cell>
          <cell r="F575">
            <v>3</v>
          </cell>
          <cell r="G575">
            <v>7</v>
          </cell>
          <cell r="H575">
            <v>10</v>
          </cell>
        </row>
        <row r="576">
          <cell r="B576">
            <v>575</v>
          </cell>
          <cell r="C576">
            <v>0.18179999999999999</v>
          </cell>
          <cell r="D576">
            <v>0.86</v>
          </cell>
          <cell r="E576">
            <v>0.28360000000000002</v>
          </cell>
          <cell r="F576">
            <v>0</v>
          </cell>
          <cell r="G576">
            <v>1</v>
          </cell>
          <cell r="H576">
            <v>1</v>
          </cell>
        </row>
        <row r="577">
          <cell r="B577">
            <v>576</v>
          </cell>
          <cell r="C577">
            <v>0.18179999999999999</v>
          </cell>
          <cell r="D577">
            <v>0.86</v>
          </cell>
          <cell r="E577">
            <v>0.28360000000000002</v>
          </cell>
          <cell r="F577">
            <v>0</v>
          </cell>
          <cell r="G577">
            <v>8</v>
          </cell>
          <cell r="H577">
            <v>8</v>
          </cell>
        </row>
        <row r="578">
          <cell r="B578">
            <v>577</v>
          </cell>
          <cell r="C578">
            <v>0.21210000000000001</v>
          </cell>
          <cell r="D578">
            <v>0.87</v>
          </cell>
          <cell r="E578">
            <v>0.29849999999999999</v>
          </cell>
          <cell r="F578">
            <v>1</v>
          </cell>
          <cell r="G578">
            <v>29</v>
          </cell>
          <cell r="H578">
            <v>30</v>
          </cell>
        </row>
        <row r="579">
          <cell r="B579">
            <v>578</v>
          </cell>
          <cell r="C579">
            <v>0.21210000000000001</v>
          </cell>
          <cell r="D579">
            <v>0.87</v>
          </cell>
          <cell r="E579">
            <v>0.29849999999999999</v>
          </cell>
          <cell r="F579">
            <v>3</v>
          </cell>
          <cell r="G579">
            <v>69</v>
          </cell>
          <cell r="H579">
            <v>72</v>
          </cell>
        </row>
        <row r="580">
          <cell r="B580">
            <v>579</v>
          </cell>
          <cell r="C580">
            <v>0.21210000000000001</v>
          </cell>
          <cell r="D580">
            <v>0.87</v>
          </cell>
          <cell r="E580">
            <v>0.29849999999999999</v>
          </cell>
          <cell r="F580">
            <v>3</v>
          </cell>
          <cell r="G580">
            <v>55</v>
          </cell>
          <cell r="H580">
            <v>58</v>
          </cell>
        </row>
        <row r="581">
          <cell r="B581">
            <v>580</v>
          </cell>
          <cell r="C581">
            <v>0.21210000000000001</v>
          </cell>
          <cell r="D581">
            <v>0.93</v>
          </cell>
          <cell r="E581">
            <v>0.28360000000000002</v>
          </cell>
          <cell r="F581">
            <v>2</v>
          </cell>
          <cell r="G581">
            <v>26</v>
          </cell>
          <cell r="H581">
            <v>28</v>
          </cell>
        </row>
        <row r="582">
          <cell r="B582">
            <v>581</v>
          </cell>
          <cell r="C582">
            <v>0.19700000000000001</v>
          </cell>
          <cell r="D582">
            <v>0.93</v>
          </cell>
          <cell r="E582">
            <v>0.32840000000000003</v>
          </cell>
          <cell r="F582">
            <v>6</v>
          </cell>
          <cell r="G582">
            <v>35</v>
          </cell>
          <cell r="H582">
            <v>41</v>
          </cell>
        </row>
        <row r="583">
          <cell r="B583">
            <v>582</v>
          </cell>
          <cell r="C583">
            <v>0.19700000000000001</v>
          </cell>
          <cell r="D583">
            <v>0.93</v>
          </cell>
          <cell r="E583">
            <v>0.32840000000000003</v>
          </cell>
          <cell r="F583">
            <v>7</v>
          </cell>
          <cell r="G583">
            <v>41</v>
          </cell>
          <cell r="H583">
            <v>48</v>
          </cell>
        </row>
        <row r="584">
          <cell r="B584">
            <v>583</v>
          </cell>
          <cell r="C584">
            <v>0.19700000000000001</v>
          </cell>
          <cell r="D584">
            <v>0.93</v>
          </cell>
          <cell r="E584">
            <v>0.32840000000000003</v>
          </cell>
          <cell r="F584">
            <v>4</v>
          </cell>
          <cell r="G584">
            <v>43</v>
          </cell>
          <cell r="H584">
            <v>47</v>
          </cell>
        </row>
        <row r="585">
          <cell r="B585">
            <v>584</v>
          </cell>
          <cell r="C585">
            <v>0.19700000000000001</v>
          </cell>
          <cell r="D585">
            <v>0.93</v>
          </cell>
          <cell r="E585">
            <v>0.35820000000000002</v>
          </cell>
          <cell r="F585">
            <v>0</v>
          </cell>
          <cell r="G585">
            <v>36</v>
          </cell>
          <cell r="H585">
            <v>36</v>
          </cell>
        </row>
        <row r="586">
          <cell r="B586">
            <v>585</v>
          </cell>
          <cell r="C586">
            <v>0.18179999999999999</v>
          </cell>
          <cell r="D586">
            <v>0.93</v>
          </cell>
          <cell r="E586">
            <v>0.4627</v>
          </cell>
          <cell r="F586">
            <v>1</v>
          </cell>
          <cell r="G586">
            <v>42</v>
          </cell>
          <cell r="H586">
            <v>43</v>
          </cell>
        </row>
        <row r="587">
          <cell r="B587">
            <v>586</v>
          </cell>
          <cell r="C587">
            <v>0.19700000000000001</v>
          </cell>
          <cell r="D587">
            <v>0.93</v>
          </cell>
          <cell r="E587">
            <v>0.32840000000000003</v>
          </cell>
          <cell r="F587">
            <v>1</v>
          </cell>
          <cell r="G587">
            <v>35</v>
          </cell>
          <cell r="H587">
            <v>36</v>
          </cell>
        </row>
        <row r="588">
          <cell r="B588">
            <v>587</v>
          </cell>
          <cell r="C588">
            <v>0.18179999999999999</v>
          </cell>
          <cell r="D588">
            <v>0.93</v>
          </cell>
          <cell r="E588">
            <v>0.35820000000000002</v>
          </cell>
          <cell r="F588">
            <v>0</v>
          </cell>
          <cell r="G588">
            <v>26</v>
          </cell>
          <cell r="H588">
            <v>26</v>
          </cell>
        </row>
        <row r="589">
          <cell r="B589">
            <v>588</v>
          </cell>
          <cell r="C589">
            <v>0.2273</v>
          </cell>
          <cell r="D589">
            <v>0.55000000000000004</v>
          </cell>
          <cell r="E589">
            <v>0.19400000000000001</v>
          </cell>
          <cell r="F589">
            <v>1</v>
          </cell>
          <cell r="G589">
            <v>23</v>
          </cell>
          <cell r="H589">
            <v>24</v>
          </cell>
        </row>
        <row r="590">
          <cell r="B590">
            <v>589</v>
          </cell>
          <cell r="C590">
            <v>0.2424</v>
          </cell>
          <cell r="D590">
            <v>0.55000000000000004</v>
          </cell>
          <cell r="E590">
            <v>0.1045</v>
          </cell>
          <cell r="F590">
            <v>2</v>
          </cell>
          <cell r="G590">
            <v>82</v>
          </cell>
          <cell r="H590">
            <v>84</v>
          </cell>
        </row>
        <row r="591">
          <cell r="B591">
            <v>590</v>
          </cell>
          <cell r="C591">
            <v>0.2273</v>
          </cell>
          <cell r="D591">
            <v>0.69</v>
          </cell>
          <cell r="E591">
            <v>8.9599999999999999E-2</v>
          </cell>
          <cell r="F591">
            <v>3</v>
          </cell>
          <cell r="G591">
            <v>101</v>
          </cell>
          <cell r="H591">
            <v>104</v>
          </cell>
        </row>
        <row r="592">
          <cell r="B592">
            <v>591</v>
          </cell>
          <cell r="C592">
            <v>0.2273</v>
          </cell>
          <cell r="D592">
            <v>0.69</v>
          </cell>
          <cell r="E592">
            <v>8.9599999999999999E-2</v>
          </cell>
          <cell r="F592">
            <v>3</v>
          </cell>
          <cell r="G592">
            <v>76</v>
          </cell>
          <cell r="H592">
            <v>79</v>
          </cell>
        </row>
        <row r="593">
          <cell r="B593">
            <v>592</v>
          </cell>
          <cell r="C593">
            <v>0.21210000000000001</v>
          </cell>
          <cell r="D593">
            <v>0.74</v>
          </cell>
          <cell r="E593">
            <v>8.9599999999999999E-2</v>
          </cell>
          <cell r="F593">
            <v>4</v>
          </cell>
          <cell r="G593">
            <v>55</v>
          </cell>
          <cell r="H593">
            <v>59</v>
          </cell>
        </row>
        <row r="594">
          <cell r="B594">
            <v>593</v>
          </cell>
          <cell r="C594">
            <v>0.21210000000000001</v>
          </cell>
          <cell r="D594">
            <v>0.74</v>
          </cell>
          <cell r="E594">
            <v>8.9599999999999999E-2</v>
          </cell>
          <cell r="F594">
            <v>2</v>
          </cell>
          <cell r="G594">
            <v>36</v>
          </cell>
          <cell r="H594">
            <v>38</v>
          </cell>
        </row>
        <row r="595">
          <cell r="B595">
            <v>594</v>
          </cell>
          <cell r="C595">
            <v>0.21210000000000001</v>
          </cell>
          <cell r="D595">
            <v>0.74</v>
          </cell>
          <cell r="E595">
            <v>8.9599999999999999E-2</v>
          </cell>
          <cell r="F595">
            <v>0</v>
          </cell>
          <cell r="G595">
            <v>27</v>
          </cell>
          <cell r="H595">
            <v>27</v>
          </cell>
        </row>
        <row r="596">
          <cell r="B596">
            <v>595</v>
          </cell>
          <cell r="C596">
            <v>0.19700000000000001</v>
          </cell>
          <cell r="D596">
            <v>0.8</v>
          </cell>
          <cell r="E596">
            <v>0.16420000000000001</v>
          </cell>
          <cell r="F596">
            <v>0</v>
          </cell>
          <cell r="G596">
            <v>16</v>
          </cell>
          <cell r="H596">
            <v>16</v>
          </cell>
        </row>
        <row r="597">
          <cell r="B597">
            <v>596</v>
          </cell>
          <cell r="C597">
            <v>0.21210000000000001</v>
          </cell>
          <cell r="D597">
            <v>0.75</v>
          </cell>
          <cell r="E597">
            <v>0.1343</v>
          </cell>
          <cell r="F597">
            <v>0</v>
          </cell>
          <cell r="G597">
            <v>9</v>
          </cell>
          <cell r="H597">
            <v>9</v>
          </cell>
        </row>
        <row r="598">
          <cell r="B598">
            <v>597</v>
          </cell>
          <cell r="C598">
            <v>0.21210000000000001</v>
          </cell>
          <cell r="D598">
            <v>0.75</v>
          </cell>
          <cell r="E598">
            <v>0.1343</v>
          </cell>
          <cell r="F598">
            <v>1</v>
          </cell>
          <cell r="G598">
            <v>2</v>
          </cell>
          <cell r="H598">
            <v>3</v>
          </cell>
        </row>
        <row r="599">
          <cell r="B599">
            <v>598</v>
          </cell>
          <cell r="C599">
            <v>0.21210000000000001</v>
          </cell>
          <cell r="D599">
            <v>0.75</v>
          </cell>
          <cell r="E599">
            <v>0.16420000000000001</v>
          </cell>
          <cell r="F599">
            <v>0</v>
          </cell>
          <cell r="G599">
            <v>2</v>
          </cell>
          <cell r="H599">
            <v>2</v>
          </cell>
        </row>
        <row r="600">
          <cell r="B600">
            <v>599</v>
          </cell>
          <cell r="C600">
            <v>0.2273</v>
          </cell>
          <cell r="D600">
            <v>0.75</v>
          </cell>
          <cell r="E600">
            <v>0.1045</v>
          </cell>
          <cell r="F600">
            <v>1</v>
          </cell>
          <cell r="G600">
            <v>0</v>
          </cell>
          <cell r="H600">
            <v>1</v>
          </cell>
        </row>
        <row r="601">
          <cell r="B601">
            <v>600</v>
          </cell>
          <cell r="C601">
            <v>0.21210000000000001</v>
          </cell>
          <cell r="D601">
            <v>0.8</v>
          </cell>
          <cell r="E601">
            <v>0.1045</v>
          </cell>
          <cell r="F601">
            <v>0</v>
          </cell>
          <cell r="G601">
            <v>4</v>
          </cell>
          <cell r="H601">
            <v>4</v>
          </cell>
        </row>
        <row r="602">
          <cell r="B602">
            <v>601</v>
          </cell>
          <cell r="C602">
            <v>0.19700000000000001</v>
          </cell>
          <cell r="D602">
            <v>0.8</v>
          </cell>
          <cell r="E602">
            <v>0.1343</v>
          </cell>
          <cell r="F602">
            <v>0</v>
          </cell>
          <cell r="G602">
            <v>16</v>
          </cell>
          <cell r="H602">
            <v>16</v>
          </cell>
        </row>
        <row r="603">
          <cell r="B603">
            <v>602</v>
          </cell>
          <cell r="C603">
            <v>0.19700000000000001</v>
          </cell>
          <cell r="D603">
            <v>0.86</v>
          </cell>
          <cell r="E603">
            <v>8.9599999999999999E-2</v>
          </cell>
          <cell r="F603">
            <v>2</v>
          </cell>
          <cell r="G603">
            <v>58</v>
          </cell>
          <cell r="H603">
            <v>60</v>
          </cell>
        </row>
        <row r="604">
          <cell r="B604">
            <v>603</v>
          </cell>
          <cell r="C604">
            <v>0.19700000000000001</v>
          </cell>
          <cell r="D604">
            <v>0.86</v>
          </cell>
          <cell r="E604">
            <v>8.9599999999999999E-2</v>
          </cell>
          <cell r="F604">
            <v>2</v>
          </cell>
          <cell r="G604">
            <v>155</v>
          </cell>
          <cell r="H604">
            <v>157</v>
          </cell>
        </row>
        <row r="605">
          <cell r="B605">
            <v>604</v>
          </cell>
          <cell r="C605">
            <v>0.21210000000000001</v>
          </cell>
          <cell r="D605">
            <v>0.86</v>
          </cell>
          <cell r="E605">
            <v>8.9599999999999999E-2</v>
          </cell>
          <cell r="F605">
            <v>6</v>
          </cell>
          <cell r="G605">
            <v>95</v>
          </cell>
          <cell r="H605">
            <v>101</v>
          </cell>
        </row>
        <row r="606">
          <cell r="B606">
            <v>605</v>
          </cell>
          <cell r="C606">
            <v>0.21210000000000001</v>
          </cell>
          <cell r="D606">
            <v>0.86</v>
          </cell>
          <cell r="E606">
            <v>0.1045</v>
          </cell>
          <cell r="F606">
            <v>0</v>
          </cell>
          <cell r="G606">
            <v>49</v>
          </cell>
          <cell r="H606">
            <v>49</v>
          </cell>
        </row>
        <row r="607">
          <cell r="B607">
            <v>606</v>
          </cell>
          <cell r="C607">
            <v>0.21210000000000001</v>
          </cell>
          <cell r="D607">
            <v>0.93</v>
          </cell>
          <cell r="E607">
            <v>0.1045</v>
          </cell>
          <cell r="F607">
            <v>0</v>
          </cell>
          <cell r="G607">
            <v>30</v>
          </cell>
          <cell r="H607">
            <v>30</v>
          </cell>
        </row>
        <row r="608">
          <cell r="B608">
            <v>607</v>
          </cell>
          <cell r="C608">
            <v>0.21210000000000001</v>
          </cell>
          <cell r="D608">
            <v>0.93</v>
          </cell>
          <cell r="E608">
            <v>0.1045</v>
          </cell>
          <cell r="F608">
            <v>1</v>
          </cell>
          <cell r="G608">
            <v>28</v>
          </cell>
          <cell r="H608">
            <v>29</v>
          </cell>
        </row>
        <row r="609">
          <cell r="B609">
            <v>608</v>
          </cell>
          <cell r="C609">
            <v>0.21210000000000001</v>
          </cell>
          <cell r="D609">
            <v>0.93</v>
          </cell>
          <cell r="E609">
            <v>0.1045</v>
          </cell>
          <cell r="F609">
            <v>0</v>
          </cell>
          <cell r="G609">
            <v>31</v>
          </cell>
          <cell r="H609">
            <v>31</v>
          </cell>
        </row>
        <row r="610">
          <cell r="B610">
            <v>609</v>
          </cell>
          <cell r="C610">
            <v>0.2727</v>
          </cell>
          <cell r="D610">
            <v>0.8</v>
          </cell>
          <cell r="E610">
            <v>0</v>
          </cell>
          <cell r="F610">
            <v>2</v>
          </cell>
          <cell r="G610">
            <v>36</v>
          </cell>
          <cell r="H610">
            <v>38</v>
          </cell>
        </row>
        <row r="611">
          <cell r="B611">
            <v>610</v>
          </cell>
          <cell r="C611">
            <v>0.2576</v>
          </cell>
          <cell r="D611">
            <v>0.86</v>
          </cell>
          <cell r="E611">
            <v>0</v>
          </cell>
          <cell r="F611">
            <v>1</v>
          </cell>
          <cell r="G611">
            <v>40</v>
          </cell>
          <cell r="H611">
            <v>41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HAN" refreshedDate="46183.032755902801" createdVersion="8" refreshedVersion="8" minRefreshableVersion="3" recordCount="611" xr:uid="{00000000-000A-0000-FFFF-FFFF00000000}">
  <cacheSource type="worksheet">
    <worksheetSource ref="A1:S1048576" sheet="clean_data"/>
  </cacheSource>
  <cacheFields count="19">
    <cacheField name="instant" numFmtId="0">
      <sharedItems containsSemiMixedTypes="0" containsNonDate="0" containsString="0"/>
    </cacheField>
    <cacheField name="dteday" numFmtId="0">
      <sharedItems containsSemiMixedTypes="0" containsNonDate="0" containsString="0"/>
    </cacheField>
    <cacheField name="season" numFmtId="0">
      <sharedItems containsString="0" containsBlank="1" containsNumber="1" containsInteger="1" minValue="0" maxValue="1" count="2">
        <n v="1"/>
        <m/>
      </sharedItems>
    </cacheField>
    <cacheField name="yr" numFmtId="0">
      <sharedItems containsSemiMixedTypes="0" containsNonDate="0" containsString="0"/>
    </cacheField>
    <cacheField name="mnth" numFmtId="0">
      <sharedItems containsString="0" containsBlank="1" containsNumber="1" containsInteger="1" minValue="0" maxValue="1" count="2">
        <n v="1"/>
        <m/>
      </sharedItems>
    </cacheField>
    <cacheField name="hr" numFmtId="0">
      <sharedItems containsString="0" containsBlank="1" containsNumber="1" containsInteger="1" minValue="0" maxValue="23" count="25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m/>
      </sharedItems>
    </cacheField>
    <cacheField name="holiday" numFmtId="0">
      <sharedItems containsSemiMixedTypes="0" containsNonDate="0" containsString="0"/>
    </cacheField>
    <cacheField name="weekday" numFmtId="0">
      <sharedItems containsSemiMixedTypes="0" containsNonDate="0" containsString="0"/>
    </cacheField>
    <cacheField name="weathersit" numFmtId="0">
      <sharedItems containsString="0" containsBlank="1" containsNumber="1" containsInteger="1" minValue="0" maxValue="4" count="5">
        <n v="1"/>
        <n v="2"/>
        <n v="3"/>
        <n v="4"/>
        <m/>
      </sharedItems>
    </cacheField>
    <cacheField name="temp" numFmtId="0">
      <sharedItems containsSemiMixedTypes="0" containsNonDate="0" containsString="0"/>
    </cacheField>
    <cacheField name="atemp" numFmtId="0">
      <sharedItems containsSemiMixedTypes="0" containsNonDate="0" containsString="0"/>
    </cacheField>
    <cacheField name="hum" numFmtId="0">
      <sharedItems containsSemiMixedTypes="0" containsNonDate="0" containsString="0"/>
    </cacheField>
    <cacheField name="winspeed" numFmtId="0">
      <sharedItems containsSemiMixedTypes="0" containsNonDate="0" containsString="0"/>
    </cacheField>
    <cacheField name="casual" numFmtId="0">
      <sharedItems containsString="0" containsBlank="1" containsNumber="1" containsInteger="1" minValue="0" maxValue="47" count="33">
        <n v="3"/>
        <n v="8"/>
        <n v="5"/>
        <n v="0"/>
        <n v="2"/>
        <n v="1"/>
        <n v="12"/>
        <n v="26"/>
        <n v="29"/>
        <n v="47"/>
        <n v="35"/>
        <n v="40"/>
        <n v="41"/>
        <n v="15"/>
        <n v="9"/>
        <n v="6"/>
        <n v="11"/>
        <n v="4"/>
        <n v="7"/>
        <n v="16"/>
        <n v="20"/>
        <n v="19"/>
        <n v="10"/>
        <n v="13"/>
        <n v="14"/>
        <n v="18"/>
        <n v="17"/>
        <n v="21"/>
        <n v="33"/>
        <n v="23"/>
        <n v="22"/>
        <n v="24"/>
        <m/>
      </sharedItems>
    </cacheField>
    <cacheField name="registered" numFmtId="0">
      <sharedItems containsSemiMixedTypes="0" containsNonDate="0" containsString="0"/>
    </cacheField>
    <cacheField name="cnt" numFmtId="0">
      <sharedItems containsSemiMixedTypes="0" containsNonDate="0" containsString="0"/>
    </cacheField>
    <cacheField name="day_type" numFmtId="0">
      <sharedItems containsSemiMixedTypes="0" containsNonDate="0" containsString="0"/>
    </cacheField>
    <cacheField name="time_slot" numFmtId="0">
      <sharedItems containsSemiMixedTypes="0" containsNonDate="0" containsString="0"/>
    </cacheField>
    <cacheField name="demand_level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1">
  <r>
    <n v="1"/>
    <d v="2011-01-01T00:00:00"/>
    <x v="0"/>
    <n v="0"/>
    <x v="0"/>
    <x v="0"/>
    <b v="0"/>
    <n v="6"/>
    <x v="0"/>
    <n v="0.24"/>
    <n v="0.28789999999999999"/>
    <n v="0.81"/>
    <n v="0"/>
    <x v="0"/>
    <n v="13"/>
    <n v="16"/>
    <s v="Weekend"/>
    <s v="Morning"/>
    <s v="Low"/>
  </r>
  <r>
    <n v="2"/>
    <d v="2011-01-01T00:00:00"/>
    <x v="0"/>
    <n v="0"/>
    <x v="0"/>
    <x v="1"/>
    <b v="0"/>
    <n v="6"/>
    <x v="0"/>
    <n v="0.22"/>
    <n v="0.2727"/>
    <n v="0.8"/>
    <n v="0"/>
    <x v="1"/>
    <n v="32"/>
    <n v="40"/>
    <s v="Weekend"/>
    <s v="Morning"/>
    <s v="Low"/>
  </r>
  <r>
    <n v="3"/>
    <d v="2011-01-01T00:00:00"/>
    <x v="0"/>
    <n v="0"/>
    <x v="0"/>
    <x v="2"/>
    <b v="0"/>
    <n v="6"/>
    <x v="0"/>
    <n v="0.22"/>
    <n v="0.2727"/>
    <n v="0.8"/>
    <n v="0"/>
    <x v="2"/>
    <n v="27"/>
    <n v="32"/>
    <s v="Weekend"/>
    <s v="Morning"/>
    <s v="Low"/>
  </r>
  <r>
    <n v="4"/>
    <d v="2011-01-01T00:00:00"/>
    <x v="0"/>
    <n v="0"/>
    <x v="0"/>
    <x v="3"/>
    <b v="0"/>
    <n v="6"/>
    <x v="0"/>
    <n v="0.24"/>
    <n v="0.28789999999999999"/>
    <n v="0.75"/>
    <n v="0"/>
    <x v="0"/>
    <n v="10"/>
    <n v="13"/>
    <s v="Weekend"/>
    <s v="Morning"/>
    <s v="Low"/>
  </r>
  <r>
    <n v="5"/>
    <d v="2011-01-01T00:00:00"/>
    <x v="0"/>
    <n v="0"/>
    <x v="0"/>
    <x v="4"/>
    <b v="0"/>
    <n v="6"/>
    <x v="0"/>
    <n v="0.24"/>
    <n v="0.28789999999999999"/>
    <n v="0.75"/>
    <n v="0"/>
    <x v="3"/>
    <n v="1"/>
    <n v="1"/>
    <s v="Weekend"/>
    <s v="Morning"/>
    <s v="Low"/>
  </r>
  <r>
    <n v="6"/>
    <d v="2011-01-01T00:00:00"/>
    <x v="0"/>
    <n v="0"/>
    <x v="0"/>
    <x v="5"/>
    <b v="0"/>
    <n v="6"/>
    <x v="1"/>
    <n v="0.24"/>
    <n v="0.2576"/>
    <n v="0.75"/>
    <n v="8.9599999999999999E-2"/>
    <x v="3"/>
    <n v="1"/>
    <n v="1"/>
    <s v="Weekend"/>
    <s v="Morning"/>
    <s v="Low"/>
  </r>
  <r>
    <n v="7"/>
    <d v="2011-01-01T00:00:00"/>
    <x v="0"/>
    <n v="0"/>
    <x v="0"/>
    <x v="6"/>
    <b v="0"/>
    <n v="6"/>
    <x v="0"/>
    <n v="0.22"/>
    <n v="0.2727"/>
    <n v="0.8"/>
    <n v="0"/>
    <x v="4"/>
    <n v="0"/>
    <n v="2"/>
    <s v="Weekend"/>
    <s v="Morning"/>
    <s v="Low"/>
  </r>
  <r>
    <n v="8"/>
    <d v="2011-01-01T00:00:00"/>
    <x v="0"/>
    <n v="0"/>
    <x v="0"/>
    <x v="7"/>
    <b v="0"/>
    <n v="6"/>
    <x v="0"/>
    <n v="0.2"/>
    <n v="0.2576"/>
    <n v="0.86"/>
    <n v="0"/>
    <x v="5"/>
    <n v="2"/>
    <n v="3"/>
    <s v="Weekend"/>
    <s v="Morning"/>
    <s v="Low"/>
  </r>
  <r>
    <n v="9"/>
    <d v="2011-01-01T00:00:00"/>
    <x v="0"/>
    <n v="0"/>
    <x v="0"/>
    <x v="8"/>
    <b v="0"/>
    <n v="6"/>
    <x v="0"/>
    <n v="0.24"/>
    <n v="0"/>
    <n v="0.75"/>
    <n v="0"/>
    <x v="5"/>
    <n v="7"/>
    <n v="8"/>
    <s v="Weekend"/>
    <s v="Morning"/>
    <s v="Low"/>
  </r>
  <r>
    <n v="10"/>
    <d v="2011-01-01T00:00:00"/>
    <x v="0"/>
    <n v="0"/>
    <x v="0"/>
    <x v="9"/>
    <b v="0"/>
    <n v="6"/>
    <x v="0"/>
    <n v="0.32"/>
    <n v="0.34849999999999998"/>
    <n v="0.76"/>
    <n v="0"/>
    <x v="1"/>
    <n v="6"/>
    <n v="14"/>
    <s v="Weekend"/>
    <s v="Morning"/>
    <s v="Low"/>
  </r>
  <r>
    <n v="11"/>
    <d v="2011-01-01T00:00:00"/>
    <x v="0"/>
    <n v="0"/>
    <x v="0"/>
    <x v="10"/>
    <b v="0"/>
    <n v="6"/>
    <x v="0"/>
    <n v="0.38"/>
    <n v="0.39389999999999997"/>
    <n v="0.76"/>
    <n v="0.25369999999999998"/>
    <x v="6"/>
    <n v="24"/>
    <n v="36"/>
    <s v="Weekend"/>
    <s v="Morning"/>
    <s v="Low"/>
  </r>
  <r>
    <n v="12"/>
    <d v="2011-01-01T00:00:00"/>
    <x v="0"/>
    <n v="0"/>
    <x v="0"/>
    <x v="11"/>
    <b v="0"/>
    <n v="6"/>
    <x v="0"/>
    <n v="0.36"/>
    <n v="0.33329999999999999"/>
    <n v="0.81"/>
    <n v="0.28360000000000002"/>
    <x v="7"/>
    <n v="30"/>
    <n v="56"/>
    <s v="Weekend"/>
    <s v="Morning"/>
    <s v="Low"/>
  </r>
  <r>
    <n v="13"/>
    <d v="2011-01-01T00:00:00"/>
    <x v="0"/>
    <n v="0"/>
    <x v="0"/>
    <x v="12"/>
    <b v="0"/>
    <n v="6"/>
    <x v="0"/>
    <n v="0.42"/>
    <n v="0.42420000000000002"/>
    <n v="0.77"/>
    <n v="0.28360000000000002"/>
    <x v="8"/>
    <n v="55"/>
    <n v="84"/>
    <s v="Weekend"/>
    <s v="Afternoon"/>
    <s v="Low"/>
  </r>
  <r>
    <n v="14"/>
    <d v="2011-01-01T00:00:00"/>
    <x v="0"/>
    <n v="0"/>
    <x v="0"/>
    <x v="13"/>
    <b v="0"/>
    <n v="6"/>
    <x v="1"/>
    <n v="0.46"/>
    <n v="0.45450000000000002"/>
    <n v="0.72"/>
    <n v="0.29849999999999999"/>
    <x v="9"/>
    <n v="47"/>
    <n v="94"/>
    <s v="Weekend"/>
    <s v="Afternoon"/>
    <s v="Low"/>
  </r>
  <r>
    <n v="15"/>
    <d v="2011-01-01T00:00:00"/>
    <x v="0"/>
    <n v="0"/>
    <x v="0"/>
    <x v="14"/>
    <b v="0"/>
    <n v="6"/>
    <x v="1"/>
    <n v="0.46"/>
    <n v="0.45450000000000002"/>
    <n v="0.72"/>
    <n v="0.28360000000000002"/>
    <x v="10"/>
    <n v="71"/>
    <n v="106"/>
    <s v="Weekend"/>
    <s v="Afternoon"/>
    <s v="High"/>
  </r>
  <r>
    <n v="16"/>
    <d v="2011-01-01T00:00:00"/>
    <x v="0"/>
    <n v="0"/>
    <x v="0"/>
    <x v="15"/>
    <b v="0"/>
    <n v="6"/>
    <x v="1"/>
    <n v="0.44"/>
    <n v="0.43940000000000001"/>
    <n v="0.77"/>
    <n v="0.29849999999999999"/>
    <x v="11"/>
    <n v="70"/>
    <n v="110"/>
    <s v="Weekend"/>
    <s v="Afternoon"/>
    <s v="High"/>
  </r>
  <r>
    <n v="17"/>
    <d v="2011-01-01T00:00:00"/>
    <x v="0"/>
    <n v="0"/>
    <x v="0"/>
    <x v="16"/>
    <b v="0"/>
    <n v="6"/>
    <x v="1"/>
    <n v="0.42"/>
    <n v="0.42420000000000002"/>
    <n v="0.82"/>
    <n v="0.29849999999999999"/>
    <x v="12"/>
    <n v="52"/>
    <n v="93"/>
    <s v="Weekend"/>
    <s v="Afternoon"/>
    <s v="Low"/>
  </r>
  <r>
    <n v="18"/>
    <d v="2011-01-01T00:00:00"/>
    <x v="0"/>
    <n v="0"/>
    <x v="0"/>
    <x v="17"/>
    <b v="0"/>
    <n v="6"/>
    <x v="1"/>
    <n v="0.44"/>
    <n v="0"/>
    <n v="0.82"/>
    <n v="0.28360000000000002"/>
    <x v="13"/>
    <n v="52"/>
    <n v="67"/>
    <s v="Weekend"/>
    <s v="Afternoon"/>
    <s v="Low"/>
  </r>
  <r>
    <n v="19"/>
    <d v="2011-01-01T00:00:00"/>
    <x v="0"/>
    <n v="0"/>
    <x v="0"/>
    <x v="18"/>
    <b v="0"/>
    <n v="6"/>
    <x v="2"/>
    <n v="0.42"/>
    <n v="0.42420000000000002"/>
    <n v="0.88"/>
    <n v="0.25369999999999998"/>
    <x v="14"/>
    <n v="26"/>
    <n v="35"/>
    <s v="Weekend"/>
    <s v="Evening"/>
    <s v="Low"/>
  </r>
  <r>
    <n v="20"/>
    <d v="2011-01-01T00:00:00"/>
    <x v="0"/>
    <n v="0"/>
    <x v="0"/>
    <x v="19"/>
    <b v="0"/>
    <n v="6"/>
    <x v="2"/>
    <n v="0.42"/>
    <n v="0.42420000000000002"/>
    <n v="0.88"/>
    <n v="0.25369999999999998"/>
    <x v="15"/>
    <n v="31"/>
    <n v="37"/>
    <s v="Weekend"/>
    <s v="Evening"/>
    <s v="Low"/>
  </r>
  <r>
    <n v="21"/>
    <d v="2011-01-01T00:00:00"/>
    <x v="0"/>
    <n v="0"/>
    <x v="0"/>
    <x v="20"/>
    <b v="0"/>
    <n v="6"/>
    <x v="1"/>
    <n v="0.4"/>
    <n v="0.40910000000000002"/>
    <n v="0.87"/>
    <n v="0.25369999999999998"/>
    <x v="16"/>
    <n v="25"/>
    <n v="36"/>
    <s v="Weekend"/>
    <s v="Evening"/>
    <s v="Low"/>
  </r>
  <r>
    <n v="22"/>
    <d v="2011-01-01T00:00:00"/>
    <x v="0"/>
    <n v="0"/>
    <x v="0"/>
    <x v="21"/>
    <b v="0"/>
    <n v="6"/>
    <x v="1"/>
    <n v="0.4"/>
    <n v="0.40910000000000002"/>
    <n v="0.87"/>
    <n v="0.19400000000000001"/>
    <x v="0"/>
    <n v="31"/>
    <n v="34"/>
    <s v="Weekend"/>
    <s v="Evening"/>
    <s v="Low"/>
  </r>
  <r>
    <n v="23"/>
    <d v="2011-01-01T00:00:00"/>
    <x v="0"/>
    <n v="0"/>
    <x v="0"/>
    <x v="22"/>
    <b v="0"/>
    <n v="6"/>
    <x v="1"/>
    <n v="0.4"/>
    <n v="0.40910000000000002"/>
    <n v="0.94"/>
    <n v="0.22389999999999999"/>
    <x v="16"/>
    <n v="17"/>
    <n v="28"/>
    <s v="Weekend"/>
    <s v="Evening"/>
    <s v="Low"/>
  </r>
  <r>
    <n v="24"/>
    <d v="2011-01-01T00:00:00"/>
    <x v="0"/>
    <n v="0"/>
    <x v="0"/>
    <x v="23"/>
    <b v="0"/>
    <n v="6"/>
    <x v="1"/>
    <n v="0.46"/>
    <n v="0"/>
    <n v="0.88"/>
    <n v="0.29849999999999999"/>
    <x v="13"/>
    <n v="24"/>
    <n v="39"/>
    <s v="Weekend"/>
    <s v="Evening"/>
    <s v="Low"/>
  </r>
  <r>
    <n v="25"/>
    <d v="2011-01-02T00:00:00"/>
    <x v="0"/>
    <n v="0"/>
    <x v="0"/>
    <x v="0"/>
    <b v="0"/>
    <n v="0"/>
    <x v="1"/>
    <n v="0.46"/>
    <n v="0.45450000000000002"/>
    <n v="0.88"/>
    <n v="0.29849999999999999"/>
    <x v="17"/>
    <n v="13"/>
    <n v="17"/>
    <s v="Weekend"/>
    <s v="Morning"/>
    <s v="Low"/>
  </r>
  <r>
    <n v="26"/>
    <d v="2011-01-02T00:00:00"/>
    <x v="0"/>
    <n v="0"/>
    <x v="0"/>
    <x v="1"/>
    <b v="0"/>
    <n v="0"/>
    <x v="1"/>
    <n v="0.44"/>
    <n v="0.43940000000000001"/>
    <n v="0.94"/>
    <n v="0.25369999999999998"/>
    <x v="5"/>
    <n v="16"/>
    <n v="17"/>
    <s v="Weekend"/>
    <s v="Morning"/>
    <s v="Low"/>
  </r>
  <r>
    <n v="27"/>
    <d v="2011-01-02T00:00:00"/>
    <x v="0"/>
    <n v="0"/>
    <x v="0"/>
    <x v="2"/>
    <b v="0"/>
    <n v="0"/>
    <x v="1"/>
    <n v="0.42"/>
    <n v="0.42420000000000002"/>
    <n v="1"/>
    <n v="0.28360000000000002"/>
    <x v="5"/>
    <n v="8"/>
    <n v="9"/>
    <s v="Weekend"/>
    <s v="Morning"/>
    <s v="Low"/>
  </r>
  <r>
    <n v="28"/>
    <d v="2011-01-02T00:00:00"/>
    <x v="0"/>
    <n v="0"/>
    <x v="0"/>
    <x v="3"/>
    <b v="0"/>
    <n v="0"/>
    <x v="1"/>
    <n v="0.46"/>
    <n v="0.45450000000000002"/>
    <n v="0.94"/>
    <n v="0.19400000000000001"/>
    <x v="4"/>
    <n v="4"/>
    <n v="6"/>
    <s v="Weekend"/>
    <s v="Morning"/>
    <s v="Low"/>
  </r>
  <r>
    <n v="29"/>
    <d v="2011-01-02T00:00:00"/>
    <x v="0"/>
    <n v="0"/>
    <x v="0"/>
    <x v="4"/>
    <b v="0"/>
    <n v="0"/>
    <x v="1"/>
    <n v="0.46"/>
    <n v="0"/>
    <n v="0.94"/>
    <n v="0.19400000000000001"/>
    <x v="4"/>
    <n v="1"/>
    <n v="3"/>
    <s v="Weekend"/>
    <s v="Morning"/>
    <s v="Low"/>
  </r>
  <r>
    <n v="30"/>
    <d v="2011-01-02T00:00:00"/>
    <x v="0"/>
    <n v="0"/>
    <x v="0"/>
    <x v="6"/>
    <b v="0"/>
    <n v="0"/>
    <x v="2"/>
    <n v="0.42"/>
    <n v="0.42420000000000002"/>
    <n v="0.77"/>
    <n v="0.29849999999999999"/>
    <x v="3"/>
    <n v="2"/>
    <n v="2"/>
    <s v="Weekend"/>
    <s v="Morning"/>
    <s v="Low"/>
  </r>
  <r>
    <n v="31"/>
    <d v="2011-01-02T00:00:00"/>
    <x v="0"/>
    <n v="0"/>
    <x v="0"/>
    <x v="7"/>
    <b v="0"/>
    <n v="0"/>
    <x v="1"/>
    <n v="0.4"/>
    <n v="0.40910000000000002"/>
    <n v="0.76"/>
    <n v="0.19400000000000001"/>
    <x v="3"/>
    <n v="1"/>
    <n v="1"/>
    <s v="Weekend"/>
    <s v="Morning"/>
    <s v="Low"/>
  </r>
  <r>
    <n v="32"/>
    <d v="2011-01-02T00:00:00"/>
    <x v="0"/>
    <n v="0"/>
    <x v="0"/>
    <x v="8"/>
    <b v="0"/>
    <n v="0"/>
    <x v="2"/>
    <n v="0.4"/>
    <n v="0.40910000000000002"/>
    <n v="0.71"/>
    <n v="0.22389999999999999"/>
    <x v="3"/>
    <n v="8"/>
    <n v="8"/>
    <s v="Weekend"/>
    <s v="Morning"/>
    <s v="Low"/>
  </r>
  <r>
    <n v="33"/>
    <d v="2011-01-02T00:00:00"/>
    <x v="0"/>
    <n v="0"/>
    <x v="0"/>
    <x v="9"/>
    <b v="0"/>
    <n v="0"/>
    <x v="1"/>
    <n v="0.38"/>
    <n v="0"/>
    <n v="0.76"/>
    <n v="0.22389999999999999"/>
    <x v="5"/>
    <n v="19"/>
    <n v="20"/>
    <s v="Weekend"/>
    <s v="Morning"/>
    <s v="Low"/>
  </r>
  <r>
    <n v="34"/>
    <d v="2011-01-02T00:00:00"/>
    <x v="0"/>
    <n v="0"/>
    <x v="0"/>
    <x v="10"/>
    <b v="0"/>
    <n v="0"/>
    <x v="1"/>
    <n v="0.36"/>
    <n v="0.34849999999999998"/>
    <n v="0.81"/>
    <n v="0.22389999999999999"/>
    <x v="18"/>
    <n v="46"/>
    <n v="53"/>
    <s v="Weekend"/>
    <s v="Morning"/>
    <s v="Low"/>
  </r>
  <r>
    <n v="35"/>
    <d v="2011-01-02T00:00:00"/>
    <x v="0"/>
    <n v="0"/>
    <x v="0"/>
    <x v="11"/>
    <b v="0"/>
    <n v="0"/>
    <x v="1"/>
    <n v="0.36"/>
    <n v="0.33329999999999999"/>
    <n v="0.71"/>
    <n v="0.25369999999999998"/>
    <x v="19"/>
    <n v="54"/>
    <n v="70"/>
    <s v="Weekend"/>
    <s v="Morning"/>
    <s v="Low"/>
  </r>
  <r>
    <n v="36"/>
    <d v="2011-01-02T00:00:00"/>
    <x v="0"/>
    <n v="0"/>
    <x v="0"/>
    <x v="12"/>
    <b v="0"/>
    <n v="0"/>
    <x v="1"/>
    <n v="0.36"/>
    <n v="0.33329999999999999"/>
    <n v="0.66"/>
    <n v="0.29849999999999999"/>
    <x v="20"/>
    <n v="73"/>
    <n v="93"/>
    <s v="Weekend"/>
    <s v="Afternoon"/>
    <s v="Low"/>
  </r>
  <r>
    <n v="37"/>
    <d v="2011-01-02T00:00:00"/>
    <x v="0"/>
    <n v="0"/>
    <x v="0"/>
    <x v="13"/>
    <b v="0"/>
    <n v="0"/>
    <x v="1"/>
    <n v="0.36"/>
    <n v="0.34849999999999998"/>
    <n v="0.66"/>
    <n v="0.1343"/>
    <x v="16"/>
    <n v="64"/>
    <n v="75"/>
    <s v="Weekend"/>
    <s v="Afternoon"/>
    <s v="Low"/>
  </r>
  <r>
    <n v="38"/>
    <d v="2011-01-02T00:00:00"/>
    <x v="0"/>
    <n v="0"/>
    <x v="0"/>
    <x v="14"/>
    <b v="0"/>
    <n v="0"/>
    <x v="2"/>
    <n v="0.36"/>
    <n v="0"/>
    <n v="0.76"/>
    <n v="0.19400000000000001"/>
    <x v="17"/>
    <n v="55"/>
    <n v="59"/>
    <s v="Weekend"/>
    <s v="Afternoon"/>
    <s v="Low"/>
  </r>
  <r>
    <n v="39"/>
    <d v="2011-01-02T00:00:00"/>
    <x v="0"/>
    <n v="0"/>
    <x v="0"/>
    <x v="15"/>
    <b v="0"/>
    <n v="0"/>
    <x v="2"/>
    <n v="0.34"/>
    <n v="0.33329999999999999"/>
    <n v="0.81"/>
    <n v="0.16420000000000001"/>
    <x v="21"/>
    <n v="55"/>
    <n v="74"/>
    <s v="Weekend"/>
    <s v="Afternoon"/>
    <s v="Low"/>
  </r>
  <r>
    <n v="40"/>
    <d v="2011-01-02T00:00:00"/>
    <x v="0"/>
    <n v="0"/>
    <x v="0"/>
    <x v="16"/>
    <b v="0"/>
    <n v="0"/>
    <x v="2"/>
    <n v="0.34"/>
    <n v="0.33329999999999999"/>
    <n v="0.71"/>
    <n v="0.16420000000000001"/>
    <x v="14"/>
    <n v="67"/>
    <n v="76"/>
    <s v="Weekend"/>
    <s v="Afternoon"/>
    <s v="Low"/>
  </r>
  <r>
    <n v="41"/>
    <d v="2011-01-02T00:00:00"/>
    <x v="0"/>
    <n v="0"/>
    <x v="0"/>
    <x v="17"/>
    <b v="0"/>
    <n v="0"/>
    <x v="0"/>
    <n v="0.34"/>
    <n v="0.33329999999999999"/>
    <n v="0.56999999999999995"/>
    <n v="0.19400000000000001"/>
    <x v="18"/>
    <n v="58"/>
    <n v="65"/>
    <s v="Weekend"/>
    <s v="Afternoon"/>
    <s v="Low"/>
  </r>
  <r>
    <n v="42"/>
    <d v="2011-01-02T00:00:00"/>
    <x v="0"/>
    <n v="0"/>
    <x v="0"/>
    <x v="18"/>
    <b v="0"/>
    <n v="0"/>
    <x v="1"/>
    <n v="0.36"/>
    <n v="0.33329999999999999"/>
    <n v="0.46"/>
    <n v="0.32840000000000003"/>
    <x v="22"/>
    <n v="43"/>
    <n v="53"/>
    <s v="Weekend"/>
    <s v="Evening"/>
    <s v="Low"/>
  </r>
  <r>
    <n v="43"/>
    <d v="2011-01-02T00:00:00"/>
    <x v="0"/>
    <n v="0"/>
    <x v="0"/>
    <x v="19"/>
    <b v="0"/>
    <n v="0"/>
    <x v="0"/>
    <n v="0.32"/>
    <n v="0.28789999999999999"/>
    <n v="0.42"/>
    <n v="0.44779999999999998"/>
    <x v="5"/>
    <n v="29"/>
    <n v="30"/>
    <s v="Weekend"/>
    <s v="Evening"/>
    <s v="Low"/>
  </r>
  <r>
    <n v="44"/>
    <d v="2011-01-02T00:00:00"/>
    <x v="0"/>
    <n v="0"/>
    <x v="0"/>
    <x v="20"/>
    <b v="0"/>
    <n v="0"/>
    <x v="0"/>
    <n v="0.3"/>
    <n v="0"/>
    <n v="0.39"/>
    <n v="0.35820000000000002"/>
    <x v="2"/>
    <n v="17"/>
    <n v="22"/>
    <s v="Weekend"/>
    <s v="Evening"/>
    <s v="Low"/>
  </r>
  <r>
    <n v="45"/>
    <d v="2011-01-02T00:00:00"/>
    <x v="0"/>
    <n v="0"/>
    <x v="0"/>
    <x v="21"/>
    <b v="0"/>
    <n v="0"/>
    <x v="0"/>
    <n v="0.26"/>
    <n v="0.2273"/>
    <n v="0.44"/>
    <n v="0.32840000000000003"/>
    <x v="16"/>
    <n v="20"/>
    <n v="31"/>
    <s v="Weekend"/>
    <s v="Evening"/>
    <s v="Low"/>
  </r>
  <r>
    <n v="46"/>
    <d v="2011-01-02T00:00:00"/>
    <x v="0"/>
    <n v="0"/>
    <x v="0"/>
    <x v="22"/>
    <b v="0"/>
    <n v="0"/>
    <x v="0"/>
    <n v="0.24"/>
    <n v="0.21210000000000001"/>
    <n v="0.44"/>
    <n v="0.29849999999999999"/>
    <x v="3"/>
    <n v="9"/>
    <n v="9"/>
    <s v="Weekend"/>
    <s v="Evening"/>
    <s v="Low"/>
  </r>
  <r>
    <n v="47"/>
    <d v="2011-01-02T00:00:00"/>
    <x v="0"/>
    <n v="0"/>
    <x v="0"/>
    <x v="23"/>
    <b v="0"/>
    <n v="0"/>
    <x v="0"/>
    <n v="0.22"/>
    <n v="0.2273"/>
    <n v="0.47"/>
    <n v="0.16420000000000001"/>
    <x v="3"/>
    <n v="8"/>
    <n v="8"/>
    <s v="Weekend"/>
    <s v="Evening"/>
    <s v="Low"/>
  </r>
  <r>
    <n v="48"/>
    <d v="2011-01-03T00:00:00"/>
    <x v="0"/>
    <n v="0"/>
    <x v="0"/>
    <x v="0"/>
    <b v="0"/>
    <n v="1"/>
    <x v="0"/>
    <n v="0.22"/>
    <n v="0.19700000000000001"/>
    <n v="0.44"/>
    <n v="0.35820000000000002"/>
    <x v="3"/>
    <n v="5"/>
    <n v="5"/>
    <s v="Weekday"/>
    <s v="Morning"/>
    <s v="Low"/>
  </r>
  <r>
    <n v="49"/>
    <d v="2011-01-03T00:00:00"/>
    <x v="0"/>
    <n v="0"/>
    <x v="0"/>
    <x v="1"/>
    <b v="0"/>
    <n v="1"/>
    <x v="0"/>
    <n v="0.2"/>
    <n v="0"/>
    <n v="0.44"/>
    <n v="0.41789999999999999"/>
    <x v="3"/>
    <n v="2"/>
    <n v="2"/>
    <s v="Weekday"/>
    <s v="Morning"/>
    <s v="Low"/>
  </r>
  <r>
    <n v="50"/>
    <d v="2011-01-03T00:00:00"/>
    <x v="0"/>
    <n v="0"/>
    <x v="0"/>
    <x v="4"/>
    <b v="0"/>
    <n v="1"/>
    <x v="0"/>
    <n v="0.16"/>
    <n v="0.13639999999999999"/>
    <n v="0.47"/>
    <n v="0.3881"/>
    <x v="3"/>
    <n v="1"/>
    <n v="1"/>
    <s v="Weekday"/>
    <s v="Morning"/>
    <s v="Low"/>
  </r>
  <r>
    <n v="51"/>
    <d v="2011-01-03T00:00:00"/>
    <x v="0"/>
    <n v="0"/>
    <x v="0"/>
    <x v="5"/>
    <b v="0"/>
    <n v="1"/>
    <x v="0"/>
    <n v="0.16"/>
    <n v="0.13639999999999999"/>
    <n v="0.47"/>
    <n v="0.28360000000000002"/>
    <x v="3"/>
    <n v="3"/>
    <n v="3"/>
    <s v="Weekday"/>
    <s v="Morning"/>
    <s v="Low"/>
  </r>
  <r>
    <n v="52"/>
    <d v="2011-01-03T00:00:00"/>
    <x v="0"/>
    <n v="0"/>
    <x v="0"/>
    <x v="6"/>
    <b v="0"/>
    <n v="1"/>
    <x v="0"/>
    <n v="0.14000000000000001"/>
    <n v="0.1061"/>
    <n v="0.5"/>
    <n v="0.3881"/>
    <x v="3"/>
    <n v="30"/>
    <n v="30"/>
    <s v="Weekday"/>
    <s v="Morning"/>
    <s v="Low"/>
  </r>
  <r>
    <n v="53"/>
    <d v="2011-01-03T00:00:00"/>
    <x v="0"/>
    <n v="0"/>
    <x v="0"/>
    <x v="7"/>
    <b v="0"/>
    <n v="1"/>
    <x v="0"/>
    <n v="0.14000000000000001"/>
    <n v="0.13639999999999999"/>
    <n v="0.5"/>
    <n v="0.19400000000000001"/>
    <x v="5"/>
    <n v="63"/>
    <n v="64"/>
    <s v="Weekday"/>
    <s v="Morning"/>
    <s v="Low"/>
  </r>
  <r>
    <n v="54"/>
    <d v="2011-01-03T00:00:00"/>
    <x v="0"/>
    <n v="0"/>
    <x v="0"/>
    <x v="8"/>
    <b v="0"/>
    <n v="1"/>
    <x v="0"/>
    <n v="0.14000000000000001"/>
    <n v="0.1212"/>
    <n v="0.5"/>
    <n v="0.28360000000000002"/>
    <x v="5"/>
    <n v="153"/>
    <n v="154"/>
    <s v="Weekday"/>
    <s v="Morning"/>
    <s v="High"/>
  </r>
  <r>
    <n v="55"/>
    <d v="2011-01-03T00:00:00"/>
    <x v="0"/>
    <n v="0"/>
    <x v="0"/>
    <x v="9"/>
    <b v="0"/>
    <n v="1"/>
    <x v="0"/>
    <n v="0.16"/>
    <n v="0.13639999999999999"/>
    <n v="0.43"/>
    <n v="0.3881"/>
    <x v="18"/>
    <n v="81"/>
    <n v="88"/>
    <s v="Weekday"/>
    <s v="Morning"/>
    <s v="Low"/>
  </r>
  <r>
    <n v="56"/>
    <d v="2011-01-03T00:00:00"/>
    <x v="0"/>
    <n v="0"/>
    <x v="0"/>
    <x v="10"/>
    <b v="0"/>
    <n v="1"/>
    <x v="0"/>
    <n v="0.18"/>
    <n v="0.16669999999999999"/>
    <n v="0.43"/>
    <n v="0.25369999999999998"/>
    <x v="16"/>
    <n v="33"/>
    <n v="44"/>
    <s v="Weekday"/>
    <s v="Morning"/>
    <s v="Low"/>
  </r>
  <r>
    <n v="57"/>
    <d v="2011-01-03T00:00:00"/>
    <x v="0"/>
    <n v="0"/>
    <x v="0"/>
    <x v="11"/>
    <b v="0"/>
    <n v="1"/>
    <x v="0"/>
    <n v="0.2"/>
    <n v="0.18179999999999999"/>
    <n v="0.4"/>
    <n v="0.32840000000000003"/>
    <x v="22"/>
    <n v="41"/>
    <n v="51"/>
    <s v="Weekday"/>
    <s v="Morning"/>
    <s v="Low"/>
  </r>
  <r>
    <n v="58"/>
    <d v="2011-01-03T00:00:00"/>
    <x v="0"/>
    <n v="0"/>
    <x v="0"/>
    <x v="12"/>
    <b v="0"/>
    <n v="1"/>
    <x v="0"/>
    <n v="0.22"/>
    <n v="0.21210000000000001"/>
    <n v="0.35"/>
    <n v="0.29849999999999999"/>
    <x v="23"/>
    <n v="48"/>
    <n v="61"/>
    <s v="Weekday"/>
    <s v="Afternoon"/>
    <s v="Low"/>
  </r>
  <r>
    <n v="59"/>
    <d v="2011-01-03T00:00:00"/>
    <x v="0"/>
    <n v="0"/>
    <x v="0"/>
    <x v="13"/>
    <b v="0"/>
    <n v="1"/>
    <x v="0"/>
    <n v="0.24"/>
    <n v="0"/>
    <n v="0.35"/>
    <n v="0.28360000000000002"/>
    <x v="1"/>
    <n v="53"/>
    <n v="61"/>
    <s v="Weekday"/>
    <s v="Afternoon"/>
    <s v="Low"/>
  </r>
  <r>
    <n v="60"/>
    <d v="2011-01-03T00:00:00"/>
    <x v="0"/>
    <n v="0"/>
    <x v="0"/>
    <x v="14"/>
    <b v="0"/>
    <n v="1"/>
    <x v="0"/>
    <n v="0.26"/>
    <n v="0.2424"/>
    <n v="0.3"/>
    <n v="0.28360000000000002"/>
    <x v="16"/>
    <n v="66"/>
    <n v="77"/>
    <s v="Weekday"/>
    <s v="Afternoon"/>
    <s v="Low"/>
  </r>
  <r>
    <n v="61"/>
    <d v="2011-01-03T00:00:00"/>
    <x v="0"/>
    <n v="0"/>
    <x v="0"/>
    <x v="15"/>
    <b v="0"/>
    <n v="1"/>
    <x v="0"/>
    <n v="0.26"/>
    <n v="0.2424"/>
    <n v="0.3"/>
    <n v="0.25369999999999998"/>
    <x v="24"/>
    <n v="58"/>
    <n v="72"/>
    <s v="Weekday"/>
    <s v="Afternoon"/>
    <s v="Low"/>
  </r>
  <r>
    <n v="62"/>
    <d v="2011-01-03T00:00:00"/>
    <x v="0"/>
    <n v="0"/>
    <x v="0"/>
    <x v="16"/>
    <b v="0"/>
    <n v="1"/>
    <x v="0"/>
    <n v="0.26"/>
    <n v="0.2424"/>
    <n v="0.3"/>
    <n v="0.25369999999999998"/>
    <x v="14"/>
    <n v="67"/>
    <n v="76"/>
    <s v="Weekday"/>
    <s v="Afternoon"/>
    <s v="Low"/>
  </r>
  <r>
    <n v="63"/>
    <d v="2011-01-03T00:00:00"/>
    <x v="0"/>
    <n v="0"/>
    <x v="0"/>
    <x v="17"/>
    <b v="0"/>
    <n v="1"/>
    <x v="0"/>
    <n v="0.24"/>
    <n v="0.2273"/>
    <n v="0.3"/>
    <n v="0.22389999999999999"/>
    <x v="16"/>
    <n v="146"/>
    <n v="157"/>
    <s v="Weekday"/>
    <s v="Afternoon"/>
    <s v="High"/>
  </r>
  <r>
    <n v="64"/>
    <d v="2011-01-03T00:00:00"/>
    <x v="0"/>
    <n v="0"/>
    <x v="0"/>
    <x v="18"/>
    <b v="0"/>
    <n v="1"/>
    <x v="0"/>
    <n v="0.24"/>
    <n v="0.2576"/>
    <n v="0.32"/>
    <n v="0.1045"/>
    <x v="14"/>
    <n v="148"/>
    <n v="157"/>
    <s v="Weekday"/>
    <s v="Evening"/>
    <s v="High"/>
  </r>
  <r>
    <n v="65"/>
    <d v="2011-01-03T00:00:00"/>
    <x v="0"/>
    <n v="0"/>
    <x v="0"/>
    <x v="19"/>
    <b v="0"/>
    <n v="1"/>
    <x v="0"/>
    <n v="0.2"/>
    <n v="0.2576"/>
    <n v="0.47"/>
    <n v="0"/>
    <x v="1"/>
    <n v="102"/>
    <n v="110"/>
    <s v="Weekday"/>
    <s v="Evening"/>
    <s v="High"/>
  </r>
  <r>
    <n v="66"/>
    <d v="2011-01-03T00:00:00"/>
    <x v="0"/>
    <n v="0"/>
    <x v="0"/>
    <x v="20"/>
    <b v="0"/>
    <n v="1"/>
    <x v="0"/>
    <n v="0.2"/>
    <n v="0"/>
    <n v="0.47"/>
    <n v="0.1045"/>
    <x v="0"/>
    <n v="49"/>
    <n v="52"/>
    <s v="Weekday"/>
    <s v="Evening"/>
    <s v="Low"/>
  </r>
  <r>
    <n v="67"/>
    <d v="2011-01-03T00:00:00"/>
    <x v="0"/>
    <n v="0"/>
    <x v="0"/>
    <x v="21"/>
    <b v="0"/>
    <n v="1"/>
    <x v="0"/>
    <n v="0.18"/>
    <n v="0.19700000000000001"/>
    <n v="0.64"/>
    <n v="0.1343"/>
    <x v="0"/>
    <n v="49"/>
    <n v="52"/>
    <s v="Weekday"/>
    <s v="Evening"/>
    <s v="Low"/>
  </r>
  <r>
    <n v="68"/>
    <d v="2011-01-03T00:00:00"/>
    <x v="0"/>
    <n v="0"/>
    <x v="0"/>
    <x v="22"/>
    <b v="0"/>
    <n v="1"/>
    <x v="0"/>
    <n v="0.14000000000000001"/>
    <n v="0.1515"/>
    <n v="0.69"/>
    <n v="0.1343"/>
    <x v="3"/>
    <n v="20"/>
    <n v="20"/>
    <s v="Weekday"/>
    <s v="Evening"/>
    <s v="Low"/>
  </r>
  <r>
    <n v="69"/>
    <d v="2011-01-03T00:00:00"/>
    <x v="0"/>
    <n v="0"/>
    <x v="0"/>
    <x v="23"/>
    <b v="0"/>
    <n v="1"/>
    <x v="0"/>
    <n v="0.18"/>
    <n v="0.21210000000000001"/>
    <n v="0.55000000000000004"/>
    <n v="0.1045"/>
    <x v="5"/>
    <n v="11"/>
    <n v="12"/>
    <s v="Weekday"/>
    <s v="Evening"/>
    <s v="Low"/>
  </r>
  <r>
    <n v="70"/>
    <d v="2011-01-04T00:00:00"/>
    <x v="0"/>
    <n v="0"/>
    <x v="0"/>
    <x v="0"/>
    <b v="0"/>
    <n v="2"/>
    <x v="0"/>
    <n v="0.16"/>
    <n v="0"/>
    <n v="0.55000000000000004"/>
    <n v="0.1045"/>
    <x v="3"/>
    <n v="5"/>
    <n v="5"/>
    <s v="Weekday"/>
    <s v="Morning"/>
    <s v="Low"/>
  </r>
  <r>
    <n v="71"/>
    <d v="2011-01-04T00:00:00"/>
    <x v="0"/>
    <n v="0"/>
    <x v="0"/>
    <x v="1"/>
    <b v="0"/>
    <n v="2"/>
    <x v="0"/>
    <n v="0.16"/>
    <n v="0.18179999999999999"/>
    <n v="0.59"/>
    <n v="0.1045"/>
    <x v="3"/>
    <n v="2"/>
    <n v="2"/>
    <s v="Weekday"/>
    <s v="Morning"/>
    <s v="Low"/>
  </r>
  <r>
    <n v="72"/>
    <d v="2011-01-04T00:00:00"/>
    <x v="0"/>
    <n v="0"/>
    <x v="0"/>
    <x v="2"/>
    <b v="0"/>
    <n v="2"/>
    <x v="0"/>
    <n v="0.14000000000000001"/>
    <n v="0.1515"/>
    <n v="0.63"/>
    <n v="0.1343"/>
    <x v="3"/>
    <n v="1"/>
    <n v="1"/>
    <s v="Weekday"/>
    <s v="Morning"/>
    <s v="Low"/>
  </r>
  <r>
    <n v="73"/>
    <d v="2011-01-04T00:00:00"/>
    <x v="0"/>
    <n v="0"/>
    <x v="0"/>
    <x v="4"/>
    <b v="0"/>
    <n v="2"/>
    <x v="0"/>
    <n v="0.14000000000000001"/>
    <n v="0.18179999999999999"/>
    <n v="0.63"/>
    <n v="8.9599999999999999E-2"/>
    <x v="3"/>
    <n v="2"/>
    <n v="2"/>
    <s v="Weekday"/>
    <s v="Morning"/>
    <s v="Low"/>
  </r>
  <r>
    <n v="74"/>
    <d v="2011-01-04T00:00:00"/>
    <x v="0"/>
    <n v="0"/>
    <x v="0"/>
    <x v="5"/>
    <b v="0"/>
    <n v="2"/>
    <x v="0"/>
    <n v="0.12"/>
    <n v="0.1515"/>
    <n v="0.68"/>
    <n v="0.1045"/>
    <x v="3"/>
    <n v="4"/>
    <n v="4"/>
    <s v="Weekday"/>
    <s v="Morning"/>
    <s v="Low"/>
  </r>
  <r>
    <n v="75"/>
    <d v="2011-01-04T00:00:00"/>
    <x v="0"/>
    <n v="0"/>
    <x v="0"/>
    <x v="6"/>
    <b v="0"/>
    <n v="2"/>
    <x v="0"/>
    <n v="0.12"/>
    <n v="0.1515"/>
    <n v="0.74"/>
    <n v="0.1045"/>
    <x v="3"/>
    <n v="36"/>
    <n v="36"/>
    <s v="Weekday"/>
    <s v="Morning"/>
    <s v="Low"/>
  </r>
  <r>
    <n v="76"/>
    <d v="2011-01-04T00:00:00"/>
    <x v="0"/>
    <n v="0"/>
    <x v="0"/>
    <x v="7"/>
    <b v="0"/>
    <n v="2"/>
    <x v="0"/>
    <n v="0.12"/>
    <n v="0.1515"/>
    <n v="0.74"/>
    <n v="0.1343"/>
    <x v="4"/>
    <n v="92"/>
    <n v="94"/>
    <s v="Weekday"/>
    <s v="Morning"/>
    <s v="Low"/>
  </r>
  <r>
    <n v="77"/>
    <d v="2011-01-04T00:00:00"/>
    <x v="0"/>
    <n v="0"/>
    <x v="0"/>
    <x v="8"/>
    <b v="0"/>
    <n v="2"/>
    <x v="0"/>
    <n v="0.14000000000000001"/>
    <n v="0.1515"/>
    <n v="0.69"/>
    <n v="0.16420000000000001"/>
    <x v="4"/>
    <n v="177"/>
    <n v="179"/>
    <s v="Weekday"/>
    <s v="Morning"/>
    <s v="High"/>
  </r>
  <r>
    <n v="78"/>
    <d v="2011-01-04T00:00:00"/>
    <x v="0"/>
    <n v="0"/>
    <x v="0"/>
    <x v="9"/>
    <b v="0"/>
    <n v="2"/>
    <x v="0"/>
    <n v="0.16"/>
    <n v="0.1515"/>
    <n v="0.64"/>
    <n v="0.22389999999999999"/>
    <x v="4"/>
    <n v="98"/>
    <n v="100"/>
    <s v="Weekday"/>
    <s v="Morning"/>
    <s v="Low"/>
  </r>
  <r>
    <n v="79"/>
    <d v="2011-01-04T00:00:00"/>
    <x v="0"/>
    <n v="0"/>
    <x v="0"/>
    <x v="10"/>
    <b v="0"/>
    <n v="2"/>
    <x v="1"/>
    <n v="0.16"/>
    <n v="0.13639999999999999"/>
    <n v="0.69"/>
    <n v="0.32840000000000003"/>
    <x v="2"/>
    <n v="37"/>
    <n v="42"/>
    <s v="Weekday"/>
    <s v="Morning"/>
    <s v="Low"/>
  </r>
  <r>
    <n v="80"/>
    <d v="2011-01-04T00:00:00"/>
    <x v="0"/>
    <n v="0"/>
    <x v="0"/>
    <x v="11"/>
    <b v="0"/>
    <n v="2"/>
    <x v="0"/>
    <n v="0.22"/>
    <n v="0.21210000000000001"/>
    <n v="0.51"/>
    <n v="0.29849999999999999"/>
    <x v="18"/>
    <n v="50"/>
    <n v="57"/>
    <s v="Weekday"/>
    <s v="Morning"/>
    <s v="Low"/>
  </r>
  <r>
    <n v="81"/>
    <d v="2011-01-04T00:00:00"/>
    <x v="0"/>
    <n v="0"/>
    <x v="0"/>
    <x v="12"/>
    <b v="0"/>
    <n v="2"/>
    <x v="0"/>
    <n v="0.22"/>
    <n v="0.2273"/>
    <n v="0.51"/>
    <n v="0.16420000000000001"/>
    <x v="6"/>
    <n v="66"/>
    <n v="78"/>
    <s v="Weekday"/>
    <s v="Afternoon"/>
    <s v="Low"/>
  </r>
  <r>
    <n v="82"/>
    <d v="2011-01-04T00:00:00"/>
    <x v="0"/>
    <n v="0"/>
    <x v="0"/>
    <x v="13"/>
    <b v="0"/>
    <n v="2"/>
    <x v="0"/>
    <n v="0.24"/>
    <n v="0.2273"/>
    <n v="0.56000000000000005"/>
    <n v="0.19400000000000001"/>
    <x v="25"/>
    <n v="79"/>
    <n v="97"/>
    <s v="Weekday"/>
    <s v="Afternoon"/>
    <s v="Low"/>
  </r>
  <r>
    <n v="83"/>
    <d v="2011-01-04T00:00:00"/>
    <x v="0"/>
    <n v="0"/>
    <x v="0"/>
    <x v="14"/>
    <b v="0"/>
    <n v="2"/>
    <x v="0"/>
    <n v="0.26"/>
    <n v="0.2576"/>
    <n v="0.52"/>
    <n v="0.22389999999999999"/>
    <x v="14"/>
    <n v="54"/>
    <n v="63"/>
    <s v="Weekday"/>
    <s v="Afternoon"/>
    <s v="Low"/>
  </r>
  <r>
    <n v="84"/>
    <d v="2011-01-04T00:00:00"/>
    <x v="0"/>
    <n v="0"/>
    <x v="0"/>
    <x v="15"/>
    <b v="0"/>
    <n v="2"/>
    <x v="0"/>
    <n v="0.28000000000000003"/>
    <n v="0.2727"/>
    <n v="0.52"/>
    <n v="0.25369999999999998"/>
    <x v="26"/>
    <n v="48"/>
    <n v="65"/>
    <s v="Weekday"/>
    <s v="Afternoon"/>
    <s v="Low"/>
  </r>
  <r>
    <n v="85"/>
    <d v="2011-01-04T00:00:00"/>
    <x v="0"/>
    <n v="0"/>
    <x v="0"/>
    <x v="16"/>
    <b v="0"/>
    <n v="2"/>
    <x v="0"/>
    <n v="0.3"/>
    <n v="0.28789999999999999"/>
    <n v="0.49"/>
    <n v="0.25369999999999998"/>
    <x v="13"/>
    <n v="68"/>
    <n v="83"/>
    <s v="Weekday"/>
    <s v="Afternoon"/>
    <s v="Low"/>
  </r>
  <r>
    <n v="86"/>
    <d v="2011-01-04T00:00:00"/>
    <x v="0"/>
    <n v="0"/>
    <x v="0"/>
    <x v="17"/>
    <b v="0"/>
    <n v="2"/>
    <x v="0"/>
    <n v="0.28000000000000003"/>
    <n v="0.2727"/>
    <n v="0.48"/>
    <n v="0.22389999999999999"/>
    <x v="22"/>
    <n v="202"/>
    <n v="212"/>
    <s v="Weekday"/>
    <s v="Afternoon"/>
    <s v="High"/>
  </r>
  <r>
    <n v="87"/>
    <d v="2011-01-04T00:00:00"/>
    <x v="0"/>
    <n v="0"/>
    <x v="0"/>
    <x v="18"/>
    <b v="0"/>
    <n v="2"/>
    <x v="0"/>
    <n v="0.26"/>
    <n v="0.2576"/>
    <n v="0.48"/>
    <n v="0.19400000000000001"/>
    <x v="0"/>
    <n v="179"/>
    <n v="182"/>
    <s v="Weekday"/>
    <s v="Evening"/>
    <s v="High"/>
  </r>
  <r>
    <n v="88"/>
    <d v="2011-01-04T00:00:00"/>
    <x v="0"/>
    <n v="0"/>
    <x v="0"/>
    <x v="19"/>
    <b v="0"/>
    <n v="2"/>
    <x v="0"/>
    <n v="0.24"/>
    <n v="0.2576"/>
    <n v="0.48"/>
    <n v="0.1045"/>
    <x v="4"/>
    <n v="110"/>
    <n v="112"/>
    <s v="Weekday"/>
    <s v="Evening"/>
    <s v="High"/>
  </r>
  <r>
    <n v="89"/>
    <d v="2011-01-04T00:00:00"/>
    <x v="0"/>
    <n v="0"/>
    <x v="0"/>
    <x v="20"/>
    <b v="0"/>
    <n v="2"/>
    <x v="0"/>
    <n v="0.24"/>
    <n v="0.2576"/>
    <n v="0.48"/>
    <n v="0.1045"/>
    <x v="5"/>
    <n v="53"/>
    <n v="54"/>
    <s v="Weekday"/>
    <s v="Evening"/>
    <s v="Low"/>
  </r>
  <r>
    <n v="90"/>
    <d v="2011-01-04T00:00:00"/>
    <x v="0"/>
    <n v="0"/>
    <x v="0"/>
    <x v="21"/>
    <b v="0"/>
    <n v="2"/>
    <x v="0"/>
    <n v="0.22"/>
    <n v="0.2727"/>
    <n v="0.64"/>
    <n v="0"/>
    <x v="3"/>
    <n v="48"/>
    <n v="48"/>
    <s v="Weekday"/>
    <s v="Evening"/>
    <s v="Low"/>
  </r>
  <r>
    <n v="91"/>
    <d v="2011-01-04T00:00:00"/>
    <x v="0"/>
    <n v="0"/>
    <x v="0"/>
    <x v="22"/>
    <b v="0"/>
    <n v="2"/>
    <x v="0"/>
    <n v="0.22"/>
    <n v="0.2576"/>
    <n v="0.64"/>
    <n v="8.9599999999999999E-2"/>
    <x v="5"/>
    <n v="34"/>
    <n v="35"/>
    <s v="Weekday"/>
    <s v="Evening"/>
    <s v="Low"/>
  </r>
  <r>
    <n v="92"/>
    <d v="2011-01-04T00:00:00"/>
    <x v="0"/>
    <n v="0"/>
    <x v="0"/>
    <x v="23"/>
    <b v="0"/>
    <n v="2"/>
    <x v="0"/>
    <n v="0.2"/>
    <n v="0.2273"/>
    <n v="0.69"/>
    <n v="8.9599999999999999E-2"/>
    <x v="4"/>
    <n v="9"/>
    <n v="11"/>
    <s v="Weekday"/>
    <s v="Evening"/>
    <s v="Low"/>
  </r>
  <r>
    <n v="93"/>
    <d v="2011-01-05T00:00:00"/>
    <x v="0"/>
    <n v="0"/>
    <x v="0"/>
    <x v="0"/>
    <b v="0"/>
    <n v="3"/>
    <x v="0"/>
    <n v="0.2"/>
    <n v="0.2576"/>
    <n v="0.64"/>
    <n v="0"/>
    <x v="3"/>
    <n v="6"/>
    <n v="6"/>
    <s v="Weekday"/>
    <s v="Morning"/>
    <s v="Low"/>
  </r>
  <r>
    <n v="94"/>
    <d v="2011-01-05T00:00:00"/>
    <x v="0"/>
    <n v="0"/>
    <x v="0"/>
    <x v="1"/>
    <b v="0"/>
    <n v="3"/>
    <x v="0"/>
    <n v="0.16"/>
    <n v="0.19700000000000001"/>
    <n v="0.74"/>
    <n v="8.9599999999999999E-2"/>
    <x v="3"/>
    <n v="6"/>
    <n v="6"/>
    <s v="Weekday"/>
    <s v="Morning"/>
    <s v="Low"/>
  </r>
  <r>
    <n v="95"/>
    <d v="2011-01-05T00:00:00"/>
    <x v="0"/>
    <n v="0"/>
    <x v="0"/>
    <x v="2"/>
    <b v="0"/>
    <n v="3"/>
    <x v="0"/>
    <n v="0.16"/>
    <n v="0.19700000000000001"/>
    <n v="0.74"/>
    <n v="8.9599999999999999E-2"/>
    <x v="3"/>
    <n v="2"/>
    <n v="2"/>
    <s v="Weekday"/>
    <s v="Morning"/>
    <s v="Low"/>
  </r>
  <r>
    <n v="96"/>
    <d v="2011-01-05T00:00:00"/>
    <x v="0"/>
    <n v="0"/>
    <x v="0"/>
    <x v="4"/>
    <b v="0"/>
    <n v="3"/>
    <x v="0"/>
    <n v="0.24"/>
    <n v="0.2273"/>
    <n v="0.48"/>
    <n v="0.22389999999999999"/>
    <x v="3"/>
    <n v="2"/>
    <n v="2"/>
    <s v="Weekday"/>
    <s v="Morning"/>
    <s v="Low"/>
  </r>
  <r>
    <n v="97"/>
    <d v="2011-01-05T00:00:00"/>
    <x v="0"/>
    <n v="0"/>
    <x v="0"/>
    <x v="5"/>
    <b v="0"/>
    <n v="3"/>
    <x v="0"/>
    <n v="0.22"/>
    <n v="0.2273"/>
    <n v="0.47"/>
    <n v="0.16420000000000001"/>
    <x v="3"/>
    <n v="3"/>
    <n v="3"/>
    <s v="Weekday"/>
    <s v="Morning"/>
    <s v="Low"/>
  </r>
  <r>
    <n v="98"/>
    <d v="2011-01-05T00:00:00"/>
    <x v="0"/>
    <n v="0"/>
    <x v="0"/>
    <x v="6"/>
    <b v="0"/>
    <n v="3"/>
    <x v="0"/>
    <n v="0.2"/>
    <n v="0.19700000000000001"/>
    <n v="0.47"/>
    <n v="0.22389999999999999"/>
    <x v="3"/>
    <n v="33"/>
    <n v="33"/>
    <s v="Weekday"/>
    <s v="Morning"/>
    <s v="Low"/>
  </r>
  <r>
    <n v="99"/>
    <d v="2011-01-05T00:00:00"/>
    <x v="0"/>
    <n v="0"/>
    <x v="0"/>
    <x v="7"/>
    <b v="0"/>
    <n v="3"/>
    <x v="0"/>
    <n v="0.18"/>
    <n v="0.18179999999999999"/>
    <n v="0.43"/>
    <n v="0.19400000000000001"/>
    <x v="5"/>
    <n v="87"/>
    <n v="88"/>
    <s v="Weekday"/>
    <s v="Morning"/>
    <s v="Low"/>
  </r>
  <r>
    <n v="100"/>
    <d v="2011-01-05T00:00:00"/>
    <x v="0"/>
    <n v="0"/>
    <x v="0"/>
    <x v="8"/>
    <b v="0"/>
    <n v="3"/>
    <x v="0"/>
    <n v="0.2"/>
    <n v="0.18179999999999999"/>
    <n v="0.4"/>
    <n v="0.29849999999999999"/>
    <x v="0"/>
    <n v="192"/>
    <n v="195"/>
    <s v="Weekday"/>
    <s v="Morning"/>
    <s v="High"/>
  </r>
  <r>
    <n v="101"/>
    <d v="2011-01-05T00:00:00"/>
    <x v="0"/>
    <n v="0"/>
    <x v="0"/>
    <x v="9"/>
    <b v="0"/>
    <n v="3"/>
    <x v="0"/>
    <n v="0.22"/>
    <n v="0.19700000000000001"/>
    <n v="0.37"/>
    <n v="0.32840000000000003"/>
    <x v="15"/>
    <n v="109"/>
    <n v="115"/>
    <s v="Weekday"/>
    <s v="Morning"/>
    <s v="High"/>
  </r>
  <r>
    <n v="102"/>
    <d v="2011-01-05T00:00:00"/>
    <x v="0"/>
    <n v="0"/>
    <x v="0"/>
    <x v="10"/>
    <b v="0"/>
    <n v="3"/>
    <x v="0"/>
    <n v="0.22"/>
    <n v="0.19700000000000001"/>
    <n v="0.37"/>
    <n v="0.32840000000000003"/>
    <x v="17"/>
    <n v="53"/>
    <n v="57"/>
    <s v="Weekday"/>
    <s v="Morning"/>
    <s v="Low"/>
  </r>
  <r>
    <n v="103"/>
    <d v="2011-01-05T00:00:00"/>
    <x v="0"/>
    <n v="0"/>
    <x v="0"/>
    <x v="11"/>
    <b v="0"/>
    <n v="3"/>
    <x v="0"/>
    <n v="0.26"/>
    <n v="0.2273"/>
    <n v="0.33"/>
    <n v="0.32840000000000003"/>
    <x v="6"/>
    <n v="34"/>
    <n v="46"/>
    <s v="Weekday"/>
    <s v="Morning"/>
    <s v="Low"/>
  </r>
  <r>
    <n v="104"/>
    <d v="2011-01-05T00:00:00"/>
    <x v="0"/>
    <n v="0"/>
    <x v="0"/>
    <x v="12"/>
    <b v="0"/>
    <n v="3"/>
    <x v="0"/>
    <n v="0.26"/>
    <n v="0.2273"/>
    <n v="0.33"/>
    <n v="0.32840000000000003"/>
    <x v="2"/>
    <n v="74"/>
    <n v="79"/>
    <s v="Weekday"/>
    <s v="Afternoon"/>
    <s v="Low"/>
  </r>
  <r>
    <n v="105"/>
    <d v="2011-01-05T00:00:00"/>
    <x v="0"/>
    <n v="0"/>
    <x v="0"/>
    <x v="13"/>
    <b v="0"/>
    <n v="3"/>
    <x v="0"/>
    <n v="0.28000000000000003"/>
    <n v="0.2576"/>
    <n v="0.3"/>
    <n v="0.29849999999999999"/>
    <x v="15"/>
    <n v="65"/>
    <n v="71"/>
    <s v="Weekday"/>
    <s v="Afternoon"/>
    <s v="Low"/>
  </r>
  <r>
    <n v="106"/>
    <d v="2011-01-05T00:00:00"/>
    <x v="0"/>
    <n v="0"/>
    <x v="0"/>
    <x v="14"/>
    <b v="0"/>
    <n v="3"/>
    <x v="0"/>
    <n v="0.3"/>
    <n v="0.28789999999999999"/>
    <n v="0.28000000000000003"/>
    <n v="0.19400000000000001"/>
    <x v="22"/>
    <n v="52"/>
    <n v="62"/>
    <s v="Weekday"/>
    <s v="Afternoon"/>
    <s v="Low"/>
  </r>
  <r>
    <n v="107"/>
    <d v="2011-01-05T00:00:00"/>
    <x v="0"/>
    <n v="0"/>
    <x v="0"/>
    <x v="15"/>
    <b v="0"/>
    <n v="3"/>
    <x v="0"/>
    <n v="0.3"/>
    <n v="0.28789999999999999"/>
    <n v="0.28000000000000003"/>
    <n v="0.19400000000000001"/>
    <x v="18"/>
    <n v="55"/>
    <n v="62"/>
    <s v="Weekday"/>
    <s v="Afternoon"/>
    <s v="Low"/>
  </r>
  <r>
    <n v="108"/>
    <d v="2011-01-05T00:00:00"/>
    <x v="0"/>
    <n v="0"/>
    <x v="0"/>
    <x v="16"/>
    <b v="0"/>
    <n v="3"/>
    <x v="0"/>
    <n v="0.3"/>
    <n v="0.31819999999999998"/>
    <n v="0.28000000000000003"/>
    <n v="8.9599999999999999E-2"/>
    <x v="17"/>
    <n v="85"/>
    <n v="89"/>
    <s v="Weekday"/>
    <s v="Afternoon"/>
    <s v="Low"/>
  </r>
  <r>
    <n v="109"/>
    <d v="2011-01-05T00:00:00"/>
    <x v="0"/>
    <n v="0"/>
    <x v="0"/>
    <x v="17"/>
    <b v="0"/>
    <n v="3"/>
    <x v="0"/>
    <n v="0.24"/>
    <n v="0.2273"/>
    <n v="0.38"/>
    <n v="0.19400000000000001"/>
    <x v="17"/>
    <n v="186"/>
    <n v="190"/>
    <s v="Weekday"/>
    <s v="Afternoon"/>
    <s v="High"/>
  </r>
  <r>
    <n v="110"/>
    <d v="2011-01-05T00:00:00"/>
    <x v="0"/>
    <n v="0"/>
    <x v="0"/>
    <x v="18"/>
    <b v="0"/>
    <n v="3"/>
    <x v="0"/>
    <n v="0.24"/>
    <n v="0.2424"/>
    <n v="0.38"/>
    <n v="0.1343"/>
    <x v="0"/>
    <n v="166"/>
    <n v="169"/>
    <s v="Weekday"/>
    <s v="Evening"/>
    <s v="High"/>
  </r>
  <r>
    <n v="111"/>
    <d v="2011-01-05T00:00:00"/>
    <x v="0"/>
    <n v="0"/>
    <x v="0"/>
    <x v="19"/>
    <b v="0"/>
    <n v="3"/>
    <x v="0"/>
    <n v="0.24"/>
    <n v="0.2576"/>
    <n v="0.38"/>
    <n v="0.1045"/>
    <x v="2"/>
    <n v="127"/>
    <n v="132"/>
    <s v="Weekday"/>
    <s v="Evening"/>
    <s v="High"/>
  </r>
  <r>
    <n v="112"/>
    <d v="2011-01-05T00:00:00"/>
    <x v="0"/>
    <n v="0"/>
    <x v="0"/>
    <x v="20"/>
    <b v="0"/>
    <n v="3"/>
    <x v="0"/>
    <n v="0.22"/>
    <n v="0.2273"/>
    <n v="0.47"/>
    <n v="0.16420000000000001"/>
    <x v="18"/>
    <n v="82"/>
    <n v="89"/>
    <s v="Weekday"/>
    <s v="Evening"/>
    <s v="Low"/>
  </r>
  <r>
    <n v="113"/>
    <d v="2011-01-05T00:00:00"/>
    <x v="0"/>
    <n v="0"/>
    <x v="0"/>
    <x v="21"/>
    <b v="0"/>
    <n v="3"/>
    <x v="0"/>
    <n v="0.2"/>
    <n v="0.19700000000000001"/>
    <n v="0.51"/>
    <n v="0.19400000000000001"/>
    <x v="0"/>
    <n v="40"/>
    <n v="43"/>
    <s v="Weekday"/>
    <s v="Evening"/>
    <s v="Low"/>
  </r>
  <r>
    <n v="114"/>
    <d v="2011-01-05T00:00:00"/>
    <x v="0"/>
    <n v="0"/>
    <x v="0"/>
    <x v="22"/>
    <b v="0"/>
    <n v="3"/>
    <x v="0"/>
    <n v="0.18"/>
    <n v="0.19700000000000001"/>
    <n v="0.55000000000000004"/>
    <n v="0.1343"/>
    <x v="5"/>
    <n v="41"/>
    <n v="42"/>
    <s v="Weekday"/>
    <s v="Evening"/>
    <s v="Low"/>
  </r>
  <r>
    <n v="115"/>
    <d v="2011-01-05T00:00:00"/>
    <x v="0"/>
    <n v="0"/>
    <x v="0"/>
    <x v="23"/>
    <b v="0"/>
    <n v="3"/>
    <x v="0"/>
    <n v="0.2"/>
    <n v="0.2576"/>
    <n v="0.47"/>
    <n v="0"/>
    <x v="5"/>
    <n v="18"/>
    <n v="19"/>
    <s v="Weekday"/>
    <s v="Evening"/>
    <s v="Low"/>
  </r>
  <r>
    <n v="116"/>
    <d v="2011-01-06T00:00:00"/>
    <x v="0"/>
    <n v="0"/>
    <x v="0"/>
    <x v="0"/>
    <b v="0"/>
    <n v="4"/>
    <x v="0"/>
    <n v="0.18"/>
    <n v="0.2424"/>
    <n v="0.55000000000000004"/>
    <n v="0"/>
    <x v="3"/>
    <n v="11"/>
    <n v="11"/>
    <s v="Weekday"/>
    <s v="Morning"/>
    <s v="Low"/>
  </r>
  <r>
    <n v="117"/>
    <d v="2011-01-06T00:00:00"/>
    <x v="0"/>
    <n v="0"/>
    <x v="0"/>
    <x v="1"/>
    <b v="0"/>
    <n v="4"/>
    <x v="0"/>
    <n v="0.16"/>
    <n v="0.2273"/>
    <n v="0.64"/>
    <n v="0"/>
    <x v="3"/>
    <n v="4"/>
    <n v="4"/>
    <s v="Weekday"/>
    <s v="Morning"/>
    <s v="Low"/>
  </r>
  <r>
    <n v="118"/>
    <d v="2011-01-06T00:00:00"/>
    <x v="0"/>
    <n v="0"/>
    <x v="0"/>
    <x v="2"/>
    <b v="0"/>
    <n v="4"/>
    <x v="0"/>
    <n v="0.16"/>
    <n v="0.2273"/>
    <n v="0.64"/>
    <n v="0"/>
    <x v="3"/>
    <n v="2"/>
    <n v="2"/>
    <s v="Weekday"/>
    <s v="Morning"/>
    <s v="Low"/>
  </r>
  <r>
    <n v="119"/>
    <d v="2011-01-06T00:00:00"/>
    <x v="0"/>
    <n v="0"/>
    <x v="0"/>
    <x v="4"/>
    <b v="0"/>
    <n v="4"/>
    <x v="1"/>
    <n v="0.16"/>
    <n v="0.19700000000000001"/>
    <n v="0.64"/>
    <n v="8.9599999999999999E-2"/>
    <x v="3"/>
    <n v="1"/>
    <n v="1"/>
    <s v="Weekday"/>
    <s v="Morning"/>
    <s v="Low"/>
  </r>
  <r>
    <n v="120"/>
    <d v="2011-01-06T00:00:00"/>
    <x v="0"/>
    <n v="0"/>
    <x v="0"/>
    <x v="5"/>
    <b v="0"/>
    <n v="4"/>
    <x v="1"/>
    <n v="0.14000000000000001"/>
    <n v="0.18179999999999999"/>
    <n v="0.69"/>
    <n v="8.9599999999999999E-2"/>
    <x v="3"/>
    <n v="4"/>
    <n v="4"/>
    <s v="Weekday"/>
    <s v="Morning"/>
    <s v="Low"/>
  </r>
  <r>
    <n v="121"/>
    <d v="2011-01-06T00:00:00"/>
    <x v="0"/>
    <n v="0"/>
    <x v="0"/>
    <x v="6"/>
    <b v="0"/>
    <n v="4"/>
    <x v="1"/>
    <n v="0.14000000000000001"/>
    <n v="0.16669999999999999"/>
    <n v="0.63"/>
    <n v="0.1045"/>
    <x v="3"/>
    <n v="36"/>
    <n v="36"/>
    <s v="Weekday"/>
    <s v="Morning"/>
    <s v="Low"/>
  </r>
  <r>
    <n v="122"/>
    <d v="2011-01-06T00:00:00"/>
    <x v="0"/>
    <n v="0"/>
    <x v="0"/>
    <x v="7"/>
    <b v="0"/>
    <n v="4"/>
    <x v="1"/>
    <n v="0.16"/>
    <n v="0.2273"/>
    <n v="0.59"/>
    <n v="0"/>
    <x v="3"/>
    <n v="95"/>
    <n v="95"/>
    <s v="Weekday"/>
    <s v="Morning"/>
    <s v="Low"/>
  </r>
  <r>
    <n v="123"/>
    <d v="2011-01-06T00:00:00"/>
    <x v="0"/>
    <n v="0"/>
    <x v="0"/>
    <x v="8"/>
    <b v="0"/>
    <n v="4"/>
    <x v="0"/>
    <n v="0.16"/>
    <n v="0.2273"/>
    <n v="0.59"/>
    <n v="0"/>
    <x v="0"/>
    <n v="216"/>
    <n v="219"/>
    <s v="Weekday"/>
    <s v="Morning"/>
    <s v="High"/>
  </r>
  <r>
    <n v="124"/>
    <d v="2011-01-06T00:00:00"/>
    <x v="0"/>
    <n v="0"/>
    <x v="0"/>
    <x v="9"/>
    <b v="0"/>
    <n v="4"/>
    <x v="1"/>
    <n v="0.18"/>
    <n v="0.2424"/>
    <n v="0.51"/>
    <n v="0"/>
    <x v="15"/>
    <n v="116"/>
    <n v="122"/>
    <s v="Weekday"/>
    <s v="Morning"/>
    <s v="High"/>
  </r>
  <r>
    <n v="125"/>
    <d v="2011-01-06T00:00:00"/>
    <x v="0"/>
    <n v="0"/>
    <x v="0"/>
    <x v="10"/>
    <b v="0"/>
    <n v="4"/>
    <x v="0"/>
    <n v="0.2"/>
    <n v="0.2576"/>
    <n v="0.47"/>
    <n v="0"/>
    <x v="0"/>
    <n v="42"/>
    <n v="45"/>
    <s v="Weekday"/>
    <s v="Morning"/>
    <s v="Low"/>
  </r>
  <r>
    <n v="126"/>
    <d v="2011-01-06T00:00:00"/>
    <x v="0"/>
    <n v="0"/>
    <x v="0"/>
    <x v="11"/>
    <b v="0"/>
    <n v="4"/>
    <x v="0"/>
    <n v="0.22"/>
    <n v="0.2576"/>
    <n v="0.44"/>
    <n v="8.9599999999999999E-2"/>
    <x v="4"/>
    <n v="57"/>
    <n v="59"/>
    <s v="Weekday"/>
    <s v="Morning"/>
    <s v="Low"/>
  </r>
  <r>
    <n v="127"/>
    <d v="2011-01-06T00:00:00"/>
    <x v="0"/>
    <n v="0"/>
    <x v="0"/>
    <x v="12"/>
    <b v="0"/>
    <n v="4"/>
    <x v="0"/>
    <n v="0.26"/>
    <n v="0.28789999999999999"/>
    <n v="0.35"/>
    <n v="0"/>
    <x v="15"/>
    <n v="78"/>
    <n v="84"/>
    <s v="Weekday"/>
    <s v="Afternoon"/>
    <s v="Low"/>
  </r>
  <r>
    <n v="128"/>
    <d v="2011-01-06T00:00:00"/>
    <x v="0"/>
    <n v="0"/>
    <x v="0"/>
    <x v="13"/>
    <b v="0"/>
    <n v="4"/>
    <x v="0"/>
    <n v="0.26"/>
    <n v="0.2727"/>
    <n v="0.35"/>
    <n v="0.1045"/>
    <x v="6"/>
    <n v="55"/>
    <n v="67"/>
    <s v="Weekday"/>
    <s v="Afternoon"/>
    <s v="Low"/>
  </r>
  <r>
    <n v="129"/>
    <d v="2011-01-06T00:00:00"/>
    <x v="0"/>
    <n v="0"/>
    <x v="0"/>
    <x v="14"/>
    <b v="0"/>
    <n v="4"/>
    <x v="0"/>
    <n v="0.28000000000000003"/>
    <n v="0.2727"/>
    <n v="0.36"/>
    <n v="0.16420000000000001"/>
    <x v="16"/>
    <n v="59"/>
    <n v="70"/>
    <s v="Weekday"/>
    <s v="Afternoon"/>
    <s v="Low"/>
  </r>
  <r>
    <n v="130"/>
    <d v="2011-01-06T00:00:00"/>
    <x v="0"/>
    <n v="0"/>
    <x v="0"/>
    <x v="15"/>
    <b v="0"/>
    <n v="4"/>
    <x v="0"/>
    <n v="0.28000000000000003"/>
    <n v="0.2727"/>
    <n v="0.36"/>
    <n v="0"/>
    <x v="1"/>
    <n v="54"/>
    <n v="62"/>
    <s v="Weekday"/>
    <s v="Afternoon"/>
    <s v="Low"/>
  </r>
  <r>
    <n v="131"/>
    <d v="2011-01-06T00:00:00"/>
    <x v="0"/>
    <n v="0"/>
    <x v="0"/>
    <x v="16"/>
    <b v="0"/>
    <n v="4"/>
    <x v="0"/>
    <n v="0.26"/>
    <n v="0.2576"/>
    <n v="0.38"/>
    <n v="0.16420000000000001"/>
    <x v="6"/>
    <n v="74"/>
    <n v="86"/>
    <s v="Weekday"/>
    <s v="Afternoon"/>
    <s v="Low"/>
  </r>
  <r>
    <n v="132"/>
    <d v="2011-01-06T00:00:00"/>
    <x v="0"/>
    <n v="0"/>
    <x v="0"/>
    <x v="17"/>
    <b v="0"/>
    <n v="4"/>
    <x v="0"/>
    <n v="0.22"/>
    <n v="0.2273"/>
    <n v="0.51"/>
    <n v="0.16420000000000001"/>
    <x v="14"/>
    <n v="163"/>
    <n v="172"/>
    <s v="Weekday"/>
    <s v="Afternoon"/>
    <s v="High"/>
  </r>
  <r>
    <n v="133"/>
    <d v="2011-01-06T00:00:00"/>
    <x v="0"/>
    <n v="0"/>
    <x v="0"/>
    <x v="18"/>
    <b v="0"/>
    <n v="4"/>
    <x v="0"/>
    <n v="0.22"/>
    <n v="0.2273"/>
    <n v="0.51"/>
    <n v="0.1343"/>
    <x v="2"/>
    <n v="158"/>
    <n v="163"/>
    <s v="Weekday"/>
    <s v="Evening"/>
    <s v="High"/>
  </r>
  <r>
    <n v="134"/>
    <d v="2011-01-06T00:00:00"/>
    <x v="0"/>
    <n v="0"/>
    <x v="0"/>
    <x v="19"/>
    <b v="0"/>
    <n v="4"/>
    <x v="0"/>
    <n v="0.22"/>
    <n v="0.2576"/>
    <n v="0.55000000000000004"/>
    <n v="8.9599999999999999E-2"/>
    <x v="0"/>
    <n v="109"/>
    <n v="112"/>
    <s v="Weekday"/>
    <s v="Evening"/>
    <s v="High"/>
  </r>
  <r>
    <n v="135"/>
    <d v="2011-01-06T00:00:00"/>
    <x v="0"/>
    <n v="0"/>
    <x v="0"/>
    <x v="20"/>
    <b v="0"/>
    <n v="4"/>
    <x v="0"/>
    <n v="0.2"/>
    <n v="0.21210000000000001"/>
    <n v="0.51"/>
    <n v="0.16420000000000001"/>
    <x v="0"/>
    <n v="66"/>
    <n v="69"/>
    <s v="Weekday"/>
    <s v="Evening"/>
    <s v="Low"/>
  </r>
  <r>
    <n v="136"/>
    <d v="2011-01-06T00:00:00"/>
    <x v="0"/>
    <n v="0"/>
    <x v="0"/>
    <x v="21"/>
    <b v="0"/>
    <n v="4"/>
    <x v="1"/>
    <n v="0.22"/>
    <n v="0.21210000000000001"/>
    <n v="0.55000000000000004"/>
    <n v="0.22389999999999999"/>
    <x v="3"/>
    <n v="48"/>
    <n v="48"/>
    <s v="Weekday"/>
    <s v="Evening"/>
    <s v="Low"/>
  </r>
  <r>
    <n v="137"/>
    <d v="2011-01-06T00:00:00"/>
    <x v="0"/>
    <n v="0"/>
    <x v="0"/>
    <x v="22"/>
    <b v="0"/>
    <n v="4"/>
    <x v="1"/>
    <n v="0.22"/>
    <n v="0.21210000000000001"/>
    <n v="0.51"/>
    <n v="0.28360000000000002"/>
    <x v="5"/>
    <n v="51"/>
    <n v="52"/>
    <s v="Weekday"/>
    <s v="Evening"/>
    <s v="Low"/>
  </r>
  <r>
    <n v="138"/>
    <d v="2011-01-06T00:00:00"/>
    <x v="0"/>
    <n v="0"/>
    <x v="0"/>
    <x v="23"/>
    <b v="0"/>
    <n v="4"/>
    <x v="1"/>
    <n v="0.2"/>
    <n v="0.19700000000000001"/>
    <n v="0.59"/>
    <n v="0.19400000000000001"/>
    <x v="17"/>
    <n v="19"/>
    <n v="23"/>
    <s v="Weekday"/>
    <s v="Evening"/>
    <s v="Low"/>
  </r>
  <r>
    <n v="139"/>
    <d v="2011-01-07T00:00:00"/>
    <x v="0"/>
    <n v="0"/>
    <x v="0"/>
    <x v="0"/>
    <b v="0"/>
    <n v="5"/>
    <x v="1"/>
    <n v="0.2"/>
    <n v="0.19700000000000001"/>
    <n v="0.64"/>
    <n v="0.19400000000000001"/>
    <x v="17"/>
    <n v="13"/>
    <n v="17"/>
    <s v="Weekday"/>
    <s v="Morning"/>
    <s v="Low"/>
  </r>
  <r>
    <n v="140"/>
    <d v="2011-01-07T00:00:00"/>
    <x v="0"/>
    <n v="0"/>
    <x v="0"/>
    <x v="1"/>
    <b v="0"/>
    <n v="5"/>
    <x v="1"/>
    <n v="0.2"/>
    <n v="0.19700000000000001"/>
    <n v="0.69"/>
    <n v="0.22389999999999999"/>
    <x v="4"/>
    <n v="5"/>
    <n v="7"/>
    <s v="Weekday"/>
    <s v="Morning"/>
    <s v="Low"/>
  </r>
  <r>
    <n v="141"/>
    <d v="2011-01-07T00:00:00"/>
    <x v="0"/>
    <n v="0"/>
    <x v="0"/>
    <x v="2"/>
    <b v="0"/>
    <n v="5"/>
    <x v="1"/>
    <n v="0.2"/>
    <n v="0.19700000000000001"/>
    <n v="0.69"/>
    <n v="0.22389999999999999"/>
    <x v="3"/>
    <n v="1"/>
    <n v="1"/>
    <s v="Weekday"/>
    <s v="Morning"/>
    <s v="Low"/>
  </r>
  <r>
    <n v="142"/>
    <d v="2011-01-07T00:00:00"/>
    <x v="0"/>
    <n v="0"/>
    <x v="0"/>
    <x v="4"/>
    <b v="0"/>
    <n v="5"/>
    <x v="1"/>
    <n v="0.2"/>
    <n v="0.21210000000000001"/>
    <n v="0.69"/>
    <n v="0.1343"/>
    <x v="3"/>
    <n v="1"/>
    <n v="1"/>
    <s v="Weekday"/>
    <s v="Morning"/>
    <s v="Low"/>
  </r>
  <r>
    <n v="143"/>
    <d v="2011-01-07T00:00:00"/>
    <x v="0"/>
    <n v="0"/>
    <x v="0"/>
    <x v="5"/>
    <b v="0"/>
    <n v="5"/>
    <x v="2"/>
    <n v="0.22"/>
    <n v="0.2727"/>
    <n v="0.55000000000000004"/>
    <n v="0"/>
    <x v="3"/>
    <n v="5"/>
    <n v="5"/>
    <s v="Weekday"/>
    <s v="Morning"/>
    <s v="Low"/>
  </r>
  <r>
    <n v="144"/>
    <d v="2011-01-07T00:00:00"/>
    <x v="0"/>
    <n v="0"/>
    <x v="0"/>
    <x v="6"/>
    <b v="0"/>
    <n v="5"/>
    <x v="1"/>
    <n v="0.2"/>
    <n v="0.2576"/>
    <n v="0.69"/>
    <n v="0"/>
    <x v="1"/>
    <n v="26"/>
    <n v="34"/>
    <s v="Weekday"/>
    <s v="Morning"/>
    <s v="Low"/>
  </r>
  <r>
    <n v="145"/>
    <d v="2011-01-07T00:00:00"/>
    <x v="0"/>
    <n v="0"/>
    <x v="0"/>
    <x v="7"/>
    <b v="0"/>
    <n v="5"/>
    <x v="0"/>
    <n v="0.2"/>
    <n v="0.21210000000000001"/>
    <n v="0.69"/>
    <n v="0.1343"/>
    <x v="1"/>
    <n v="76"/>
    <n v="84"/>
    <s v="Weekday"/>
    <s v="Morning"/>
    <s v="Low"/>
  </r>
  <r>
    <n v="146"/>
    <d v="2011-01-07T00:00:00"/>
    <x v="0"/>
    <n v="0"/>
    <x v="0"/>
    <x v="8"/>
    <b v="0"/>
    <n v="5"/>
    <x v="0"/>
    <n v="0.2"/>
    <n v="0.19700000000000001"/>
    <n v="0.51"/>
    <n v="0.25369999999999998"/>
    <x v="20"/>
    <n v="190"/>
    <n v="210"/>
    <s v="Weekday"/>
    <s v="Morning"/>
    <s v="High"/>
  </r>
  <r>
    <n v="147"/>
    <d v="2011-01-07T00:00:00"/>
    <x v="0"/>
    <n v="0"/>
    <x v="0"/>
    <x v="9"/>
    <b v="0"/>
    <n v="5"/>
    <x v="0"/>
    <n v="0.2"/>
    <n v="0.18179999999999999"/>
    <n v="0.47"/>
    <n v="0.29849999999999999"/>
    <x v="14"/>
    <n v="125"/>
    <n v="134"/>
    <s v="Weekday"/>
    <s v="Morning"/>
    <s v="High"/>
  </r>
  <r>
    <n v="148"/>
    <d v="2011-01-07T00:00:00"/>
    <x v="0"/>
    <n v="0"/>
    <x v="0"/>
    <x v="10"/>
    <b v="0"/>
    <n v="5"/>
    <x v="0"/>
    <n v="0.22"/>
    <n v="0.19700000000000001"/>
    <n v="0.37"/>
    <n v="0.32840000000000003"/>
    <x v="19"/>
    <n v="47"/>
    <n v="63"/>
    <s v="Weekday"/>
    <s v="Morning"/>
    <s v="Low"/>
  </r>
  <r>
    <n v="149"/>
    <d v="2011-01-07T00:00:00"/>
    <x v="0"/>
    <n v="0"/>
    <x v="0"/>
    <x v="11"/>
    <b v="0"/>
    <n v="5"/>
    <x v="1"/>
    <n v="0.2"/>
    <n v="0.19700000000000001"/>
    <n v="0.4"/>
    <n v="0.22389999999999999"/>
    <x v="21"/>
    <n v="48"/>
    <n v="67"/>
    <s v="Weekday"/>
    <s v="Morning"/>
    <s v="Low"/>
  </r>
  <r>
    <n v="150"/>
    <d v="2011-01-07T00:00:00"/>
    <x v="0"/>
    <n v="0"/>
    <x v="0"/>
    <x v="12"/>
    <b v="0"/>
    <n v="5"/>
    <x v="1"/>
    <n v="0.2"/>
    <n v="0.19700000000000001"/>
    <n v="0.37"/>
    <n v="0.25369999999999998"/>
    <x v="14"/>
    <n v="50"/>
    <n v="59"/>
    <s v="Weekday"/>
    <s v="Afternoon"/>
    <s v="Low"/>
  </r>
  <r>
    <n v="151"/>
    <d v="2011-01-07T00:00:00"/>
    <x v="0"/>
    <n v="0"/>
    <x v="0"/>
    <x v="13"/>
    <b v="0"/>
    <n v="5"/>
    <x v="1"/>
    <n v="0.2"/>
    <n v="0.18179999999999999"/>
    <n v="0.37"/>
    <n v="0.28360000000000002"/>
    <x v="14"/>
    <n v="64"/>
    <n v="73"/>
    <s v="Weekday"/>
    <s v="Afternoon"/>
    <s v="Low"/>
  </r>
  <r>
    <n v="152"/>
    <d v="2011-01-07T00:00:00"/>
    <x v="0"/>
    <n v="0"/>
    <x v="0"/>
    <x v="14"/>
    <b v="0"/>
    <n v="5"/>
    <x v="1"/>
    <n v="0.2"/>
    <n v="0.19700000000000001"/>
    <n v="0.4"/>
    <n v="0.25369999999999998"/>
    <x v="18"/>
    <n v="43"/>
    <n v="50"/>
    <s v="Weekday"/>
    <s v="Afternoon"/>
    <s v="Low"/>
  </r>
  <r>
    <n v="153"/>
    <d v="2011-01-07T00:00:00"/>
    <x v="0"/>
    <n v="0"/>
    <x v="0"/>
    <x v="15"/>
    <b v="0"/>
    <n v="5"/>
    <x v="1"/>
    <n v="0.2"/>
    <n v="0.21210000000000001"/>
    <n v="0.37"/>
    <n v="0.16420000000000001"/>
    <x v="14"/>
    <n v="63"/>
    <n v="72"/>
    <s v="Weekday"/>
    <s v="Afternoon"/>
    <s v="Low"/>
  </r>
  <r>
    <n v="154"/>
    <d v="2011-01-07T00:00:00"/>
    <x v="0"/>
    <n v="0"/>
    <x v="0"/>
    <x v="16"/>
    <b v="0"/>
    <n v="5"/>
    <x v="1"/>
    <n v="0.2"/>
    <n v="0.21210000000000001"/>
    <n v="0.37"/>
    <n v="0.16420000000000001"/>
    <x v="2"/>
    <n v="82"/>
    <n v="87"/>
    <s v="Weekday"/>
    <s v="Afternoon"/>
    <s v="Low"/>
  </r>
  <r>
    <n v="155"/>
    <d v="2011-01-07T00:00:00"/>
    <x v="0"/>
    <n v="0"/>
    <x v="0"/>
    <x v="17"/>
    <b v="0"/>
    <n v="5"/>
    <x v="1"/>
    <n v="0.2"/>
    <n v="0.2576"/>
    <n v="0.37"/>
    <n v="0"/>
    <x v="14"/>
    <n v="178"/>
    <n v="187"/>
    <s v="Weekday"/>
    <s v="Afternoon"/>
    <s v="High"/>
  </r>
  <r>
    <n v="156"/>
    <d v="2011-01-07T00:00:00"/>
    <x v="0"/>
    <n v="0"/>
    <x v="0"/>
    <x v="18"/>
    <b v="0"/>
    <n v="5"/>
    <x v="0"/>
    <n v="0.2"/>
    <n v="0.2273"/>
    <n v="0.4"/>
    <n v="8.9599999999999999E-2"/>
    <x v="18"/>
    <n v="116"/>
    <n v="123"/>
    <s v="Weekday"/>
    <s v="Evening"/>
    <s v="High"/>
  </r>
  <r>
    <n v="157"/>
    <d v="2011-01-07T00:00:00"/>
    <x v="0"/>
    <n v="0"/>
    <x v="0"/>
    <x v="19"/>
    <b v="0"/>
    <n v="5"/>
    <x v="0"/>
    <n v="0.16"/>
    <n v="0.19700000000000001"/>
    <n v="0.55000000000000004"/>
    <n v="8.9599999999999999E-2"/>
    <x v="0"/>
    <n v="92"/>
    <n v="95"/>
    <s v="Weekday"/>
    <s v="Evening"/>
    <s v="Low"/>
  </r>
  <r>
    <n v="158"/>
    <d v="2011-01-07T00:00:00"/>
    <x v="0"/>
    <n v="0"/>
    <x v="0"/>
    <x v="20"/>
    <b v="0"/>
    <n v="5"/>
    <x v="0"/>
    <n v="0.18"/>
    <n v="0.21210000000000001"/>
    <n v="0.47"/>
    <n v="0.1045"/>
    <x v="5"/>
    <n v="50"/>
    <n v="51"/>
    <s v="Weekday"/>
    <s v="Evening"/>
    <s v="Low"/>
  </r>
  <r>
    <n v="159"/>
    <d v="2011-01-07T00:00:00"/>
    <x v="0"/>
    <n v="0"/>
    <x v="0"/>
    <x v="21"/>
    <b v="0"/>
    <n v="5"/>
    <x v="0"/>
    <n v="0.18"/>
    <n v="0.19700000000000001"/>
    <n v="0.47"/>
    <n v="0.1343"/>
    <x v="3"/>
    <n v="39"/>
    <n v="39"/>
    <s v="Weekday"/>
    <s v="Evening"/>
    <s v="Low"/>
  </r>
  <r>
    <n v="160"/>
    <d v="2011-01-07T00:00:00"/>
    <x v="0"/>
    <n v="0"/>
    <x v="0"/>
    <x v="22"/>
    <b v="0"/>
    <n v="5"/>
    <x v="1"/>
    <n v="0.18"/>
    <n v="0.19700000000000001"/>
    <n v="0.43"/>
    <n v="0.16420000000000001"/>
    <x v="4"/>
    <n v="34"/>
    <n v="36"/>
    <s v="Weekday"/>
    <s v="Evening"/>
    <s v="Low"/>
  </r>
  <r>
    <n v="161"/>
    <d v="2011-01-07T00:00:00"/>
    <x v="0"/>
    <n v="0"/>
    <x v="0"/>
    <x v="23"/>
    <b v="0"/>
    <n v="5"/>
    <x v="1"/>
    <n v="0.18"/>
    <n v="0.19700000000000001"/>
    <n v="0.51"/>
    <n v="0.16420000000000001"/>
    <x v="5"/>
    <n v="14"/>
    <n v="15"/>
    <s v="Weekday"/>
    <s v="Evening"/>
    <s v="Low"/>
  </r>
  <r>
    <n v="162"/>
    <d v="2011-01-08T00:00:00"/>
    <x v="0"/>
    <n v="0"/>
    <x v="0"/>
    <x v="0"/>
    <b v="0"/>
    <n v="6"/>
    <x v="1"/>
    <n v="0.18"/>
    <n v="0.19700000000000001"/>
    <n v="0.51"/>
    <n v="0.16420000000000001"/>
    <x v="5"/>
    <n v="24"/>
    <n v="25"/>
    <s v="Weekend"/>
    <s v="Morning"/>
    <s v="Low"/>
  </r>
  <r>
    <n v="163"/>
    <d v="2011-01-08T00:00:00"/>
    <x v="0"/>
    <n v="0"/>
    <x v="0"/>
    <x v="1"/>
    <b v="0"/>
    <n v="6"/>
    <x v="1"/>
    <n v="0.18"/>
    <n v="0.21210000000000001"/>
    <n v="0.55000000000000004"/>
    <n v="8.9599999999999999E-2"/>
    <x v="5"/>
    <n v="15"/>
    <n v="16"/>
    <s v="Weekend"/>
    <s v="Morning"/>
    <s v="Low"/>
  </r>
  <r>
    <n v="164"/>
    <d v="2011-01-08T00:00:00"/>
    <x v="0"/>
    <n v="0"/>
    <x v="0"/>
    <x v="2"/>
    <b v="0"/>
    <n v="6"/>
    <x v="1"/>
    <n v="0.18"/>
    <n v="0.2424"/>
    <n v="0.55000000000000004"/>
    <n v="0"/>
    <x v="0"/>
    <n v="13"/>
    <n v="16"/>
    <s v="Weekend"/>
    <s v="Morning"/>
    <s v="Low"/>
  </r>
  <r>
    <n v="165"/>
    <d v="2011-01-08T00:00:00"/>
    <x v="0"/>
    <n v="0"/>
    <x v="0"/>
    <x v="3"/>
    <b v="0"/>
    <n v="6"/>
    <x v="2"/>
    <n v="0.18"/>
    <n v="0.19700000000000001"/>
    <n v="0.55000000000000004"/>
    <n v="0.16420000000000001"/>
    <x v="3"/>
    <n v="7"/>
    <n v="7"/>
    <s v="Weekend"/>
    <s v="Morning"/>
    <s v="Low"/>
  </r>
  <r>
    <n v="166"/>
    <d v="2011-01-08T00:00:00"/>
    <x v="0"/>
    <n v="0"/>
    <x v="0"/>
    <x v="4"/>
    <b v="0"/>
    <n v="6"/>
    <x v="2"/>
    <n v="0.18"/>
    <n v="0.19700000000000001"/>
    <n v="0.55000000000000004"/>
    <n v="0.16420000000000001"/>
    <x v="3"/>
    <n v="1"/>
    <n v="1"/>
    <s v="Weekend"/>
    <s v="Morning"/>
    <s v="Low"/>
  </r>
  <r>
    <n v="167"/>
    <d v="2011-01-08T00:00:00"/>
    <x v="0"/>
    <n v="0"/>
    <x v="0"/>
    <x v="5"/>
    <b v="0"/>
    <n v="6"/>
    <x v="1"/>
    <n v="0.16"/>
    <n v="0.16669999999999999"/>
    <n v="0.74"/>
    <n v="0.16420000000000001"/>
    <x v="3"/>
    <n v="5"/>
    <n v="5"/>
    <s v="Weekend"/>
    <s v="Morning"/>
    <s v="Low"/>
  </r>
  <r>
    <n v="168"/>
    <d v="2011-01-08T00:00:00"/>
    <x v="0"/>
    <n v="0"/>
    <x v="0"/>
    <x v="6"/>
    <b v="0"/>
    <n v="6"/>
    <x v="1"/>
    <n v="0.16"/>
    <n v="0.16669999999999999"/>
    <n v="0.74"/>
    <n v="0.16420000000000001"/>
    <x v="3"/>
    <n v="2"/>
    <n v="2"/>
    <s v="Weekend"/>
    <s v="Morning"/>
    <s v="Low"/>
  </r>
  <r>
    <n v="169"/>
    <d v="2011-01-08T00:00:00"/>
    <x v="0"/>
    <n v="0"/>
    <x v="0"/>
    <x v="7"/>
    <b v="0"/>
    <n v="6"/>
    <x v="1"/>
    <n v="0.16"/>
    <n v="0.18179999999999999"/>
    <n v="0.74"/>
    <n v="0.1045"/>
    <x v="5"/>
    <n v="8"/>
    <n v="9"/>
    <s v="Weekend"/>
    <s v="Morning"/>
    <s v="Low"/>
  </r>
  <r>
    <n v="170"/>
    <d v="2011-01-08T00:00:00"/>
    <x v="0"/>
    <n v="0"/>
    <x v="0"/>
    <x v="8"/>
    <b v="0"/>
    <n v="6"/>
    <x v="2"/>
    <n v="0.16"/>
    <n v="0.18179999999999999"/>
    <n v="0.93"/>
    <n v="0.1045"/>
    <x v="3"/>
    <n v="15"/>
    <n v="15"/>
    <s v="Weekend"/>
    <s v="Morning"/>
    <s v="Low"/>
  </r>
  <r>
    <n v="171"/>
    <d v="2011-01-08T00:00:00"/>
    <x v="0"/>
    <n v="0"/>
    <x v="0"/>
    <x v="9"/>
    <b v="0"/>
    <n v="6"/>
    <x v="2"/>
    <n v="0.16"/>
    <n v="0.18179999999999999"/>
    <n v="0.93"/>
    <n v="0.1045"/>
    <x v="3"/>
    <n v="20"/>
    <n v="20"/>
    <s v="Weekend"/>
    <s v="Morning"/>
    <s v="Low"/>
  </r>
  <r>
    <n v="172"/>
    <d v="2011-01-08T00:00:00"/>
    <x v="0"/>
    <n v="0"/>
    <x v="0"/>
    <x v="10"/>
    <b v="0"/>
    <n v="6"/>
    <x v="1"/>
    <n v="0.18"/>
    <n v="0.19700000000000001"/>
    <n v="0.8"/>
    <n v="0.16420000000000001"/>
    <x v="2"/>
    <n v="56"/>
    <n v="61"/>
    <s v="Weekend"/>
    <s v="Morning"/>
    <s v="Low"/>
  </r>
  <r>
    <n v="173"/>
    <d v="2011-01-08T00:00:00"/>
    <x v="0"/>
    <n v="0"/>
    <x v="0"/>
    <x v="11"/>
    <b v="0"/>
    <n v="6"/>
    <x v="1"/>
    <n v="0.2"/>
    <n v="0.18179999999999999"/>
    <n v="0.69"/>
    <n v="0.3881"/>
    <x v="4"/>
    <n v="60"/>
    <n v="62"/>
    <s v="Weekend"/>
    <s v="Morning"/>
    <s v="Low"/>
  </r>
  <r>
    <n v="174"/>
    <d v="2011-01-08T00:00:00"/>
    <x v="0"/>
    <n v="0"/>
    <x v="0"/>
    <x v="12"/>
    <b v="0"/>
    <n v="6"/>
    <x v="1"/>
    <n v="0.2"/>
    <n v="0.18179999999999999"/>
    <n v="0.59"/>
    <n v="0.35820000000000002"/>
    <x v="1"/>
    <n v="90"/>
    <n v="98"/>
    <s v="Weekend"/>
    <s v="Afternoon"/>
    <s v="Low"/>
  </r>
  <r>
    <n v="175"/>
    <d v="2011-01-08T00:00:00"/>
    <x v="0"/>
    <n v="0"/>
    <x v="0"/>
    <x v="13"/>
    <b v="0"/>
    <n v="6"/>
    <x v="0"/>
    <n v="0.2"/>
    <n v="0.18179999999999999"/>
    <n v="0.44"/>
    <n v="0.32840000000000003"/>
    <x v="18"/>
    <n v="95"/>
    <n v="102"/>
    <s v="Weekend"/>
    <s v="Afternoon"/>
    <s v="High"/>
  </r>
  <r>
    <n v="176"/>
    <d v="2011-01-08T00:00:00"/>
    <x v="0"/>
    <n v="0"/>
    <x v="0"/>
    <x v="14"/>
    <b v="0"/>
    <n v="6"/>
    <x v="0"/>
    <n v="0.2"/>
    <n v="0.16669999999999999"/>
    <n v="0.32"/>
    <n v="0.49249999999999999"/>
    <x v="6"/>
    <n v="83"/>
    <n v="95"/>
    <s v="Weekend"/>
    <s v="Afternoon"/>
    <s v="Low"/>
  </r>
  <r>
    <n v="177"/>
    <d v="2011-01-08T00:00:00"/>
    <x v="0"/>
    <n v="0"/>
    <x v="0"/>
    <x v="15"/>
    <b v="0"/>
    <n v="6"/>
    <x v="0"/>
    <n v="0.2"/>
    <n v="0.16669999999999999"/>
    <n v="0.32"/>
    <n v="0.44779999999999998"/>
    <x v="2"/>
    <n v="69"/>
    <n v="74"/>
    <s v="Weekend"/>
    <s v="Afternoon"/>
    <s v="Low"/>
  </r>
  <r>
    <n v="178"/>
    <d v="2011-01-08T00:00:00"/>
    <x v="0"/>
    <n v="0"/>
    <x v="0"/>
    <x v="16"/>
    <b v="0"/>
    <n v="6"/>
    <x v="0"/>
    <n v="0.18"/>
    <n v="0.13639999999999999"/>
    <n v="0.28999999999999998"/>
    <n v="0.44779999999999998"/>
    <x v="1"/>
    <n v="68"/>
    <n v="76"/>
    <s v="Weekend"/>
    <s v="Afternoon"/>
    <s v="Low"/>
  </r>
  <r>
    <n v="179"/>
    <d v="2011-01-08T00:00:00"/>
    <x v="0"/>
    <n v="0"/>
    <x v="0"/>
    <x v="17"/>
    <b v="0"/>
    <n v="6"/>
    <x v="0"/>
    <n v="0.16"/>
    <n v="0.1212"/>
    <n v="0.37"/>
    <n v="0.55220000000000002"/>
    <x v="2"/>
    <n v="64"/>
    <n v="69"/>
    <s v="Weekend"/>
    <s v="Afternoon"/>
    <s v="Low"/>
  </r>
  <r>
    <n v="180"/>
    <d v="2011-01-08T00:00:00"/>
    <x v="0"/>
    <n v="0"/>
    <x v="0"/>
    <x v="18"/>
    <b v="0"/>
    <n v="6"/>
    <x v="0"/>
    <n v="0.14000000000000001"/>
    <n v="0.1212"/>
    <n v="0.39"/>
    <n v="0.29849999999999999"/>
    <x v="0"/>
    <n v="52"/>
    <n v="55"/>
    <s v="Weekend"/>
    <s v="Evening"/>
    <s v="Low"/>
  </r>
  <r>
    <n v="181"/>
    <d v="2011-01-08T00:00:00"/>
    <x v="0"/>
    <n v="0"/>
    <x v="0"/>
    <x v="19"/>
    <b v="0"/>
    <n v="6"/>
    <x v="0"/>
    <n v="0.14000000000000001"/>
    <n v="0.1212"/>
    <n v="0.36"/>
    <n v="0.25369999999999998"/>
    <x v="17"/>
    <n v="26"/>
    <n v="30"/>
    <s v="Weekend"/>
    <s v="Evening"/>
    <s v="Low"/>
  </r>
  <r>
    <n v="182"/>
    <d v="2011-01-08T00:00:00"/>
    <x v="0"/>
    <n v="0"/>
    <x v="0"/>
    <x v="20"/>
    <b v="0"/>
    <n v="6"/>
    <x v="0"/>
    <n v="0.12"/>
    <n v="0.1212"/>
    <n v="0.36"/>
    <n v="0.25369999999999998"/>
    <x v="3"/>
    <n v="28"/>
    <n v="28"/>
    <s v="Weekend"/>
    <s v="Evening"/>
    <s v="Low"/>
  </r>
  <r>
    <n v="183"/>
    <d v="2011-01-08T00:00:00"/>
    <x v="0"/>
    <n v="0"/>
    <x v="0"/>
    <x v="21"/>
    <b v="0"/>
    <n v="6"/>
    <x v="0"/>
    <n v="0.12"/>
    <n v="0.1061"/>
    <n v="0.39"/>
    <n v="0.35820000000000002"/>
    <x v="4"/>
    <n v="35"/>
    <n v="37"/>
    <s v="Weekend"/>
    <s v="Evening"/>
    <s v="Low"/>
  </r>
  <r>
    <n v="184"/>
    <d v="2011-01-08T00:00:00"/>
    <x v="0"/>
    <n v="0"/>
    <x v="0"/>
    <x v="22"/>
    <b v="0"/>
    <n v="6"/>
    <x v="0"/>
    <n v="0.12"/>
    <n v="0.1061"/>
    <n v="0.36"/>
    <n v="0.3881"/>
    <x v="5"/>
    <n v="33"/>
    <n v="34"/>
    <s v="Weekend"/>
    <s v="Evening"/>
    <s v="Low"/>
  </r>
  <r>
    <n v="185"/>
    <d v="2011-01-08T00:00:00"/>
    <x v="0"/>
    <n v="0"/>
    <x v="0"/>
    <x v="23"/>
    <b v="0"/>
    <n v="6"/>
    <x v="0"/>
    <n v="0.1"/>
    <n v="6.0600000000000001E-2"/>
    <n v="0.39"/>
    <n v="0.44779999999999998"/>
    <x v="3"/>
    <n v="22"/>
    <n v="22"/>
    <s v="Weekend"/>
    <s v="Evening"/>
    <s v="Low"/>
  </r>
  <r>
    <n v="186"/>
    <d v="2011-01-09T00:00:00"/>
    <x v="0"/>
    <n v="0"/>
    <x v="0"/>
    <x v="0"/>
    <b v="0"/>
    <n v="0"/>
    <x v="0"/>
    <n v="0.1"/>
    <n v="7.5800000000000006E-2"/>
    <n v="0.42"/>
    <n v="0.3881"/>
    <x v="5"/>
    <n v="24"/>
    <n v="25"/>
    <s v="Weekend"/>
    <s v="Morning"/>
    <s v="Low"/>
  </r>
  <r>
    <n v="187"/>
    <d v="2011-01-09T00:00:00"/>
    <x v="0"/>
    <n v="0"/>
    <x v="0"/>
    <x v="1"/>
    <b v="0"/>
    <n v="0"/>
    <x v="0"/>
    <n v="0.1"/>
    <n v="6.0600000000000001E-2"/>
    <n v="0.42"/>
    <n v="0.4627"/>
    <x v="3"/>
    <n v="12"/>
    <n v="12"/>
    <s v="Weekend"/>
    <s v="Morning"/>
    <s v="Low"/>
  </r>
  <r>
    <n v="188"/>
    <d v="2011-01-09T00:00:00"/>
    <x v="0"/>
    <n v="0"/>
    <x v="0"/>
    <x v="2"/>
    <b v="0"/>
    <n v="0"/>
    <x v="0"/>
    <n v="0.1"/>
    <n v="6.0600000000000001E-2"/>
    <n v="0.46"/>
    <n v="0.4627"/>
    <x v="3"/>
    <n v="11"/>
    <n v="11"/>
    <s v="Weekend"/>
    <s v="Morning"/>
    <s v="Low"/>
  </r>
  <r>
    <n v="189"/>
    <d v="2011-01-09T00:00:00"/>
    <x v="0"/>
    <n v="0"/>
    <x v="0"/>
    <x v="3"/>
    <b v="0"/>
    <n v="0"/>
    <x v="0"/>
    <n v="0.1"/>
    <n v="7.5800000000000006E-2"/>
    <n v="0.46"/>
    <n v="0.41789999999999999"/>
    <x v="3"/>
    <n v="4"/>
    <n v="4"/>
    <s v="Weekend"/>
    <s v="Morning"/>
    <s v="Low"/>
  </r>
  <r>
    <n v="190"/>
    <d v="2011-01-09T00:00:00"/>
    <x v="0"/>
    <n v="0"/>
    <x v="0"/>
    <x v="4"/>
    <b v="0"/>
    <n v="0"/>
    <x v="0"/>
    <n v="0.08"/>
    <n v="9.0899999999999995E-2"/>
    <n v="0.53"/>
    <n v="0.19400000000000001"/>
    <x v="3"/>
    <n v="1"/>
    <n v="1"/>
    <s v="Weekend"/>
    <s v="Morning"/>
    <s v="Low"/>
  </r>
  <r>
    <n v="191"/>
    <d v="2011-01-09T00:00:00"/>
    <x v="0"/>
    <n v="0"/>
    <x v="0"/>
    <x v="5"/>
    <b v="0"/>
    <n v="0"/>
    <x v="0"/>
    <n v="0.08"/>
    <n v="9.0899999999999995E-2"/>
    <n v="0.53"/>
    <n v="0.19400000000000001"/>
    <x v="3"/>
    <n v="1"/>
    <n v="1"/>
    <s v="Weekend"/>
    <s v="Morning"/>
    <s v="Low"/>
  </r>
  <r>
    <n v="192"/>
    <d v="2011-01-09T00:00:00"/>
    <x v="0"/>
    <n v="0"/>
    <x v="0"/>
    <x v="6"/>
    <b v="0"/>
    <n v="0"/>
    <x v="0"/>
    <n v="0.1"/>
    <n v="9.0899999999999995E-2"/>
    <n v="0.49"/>
    <n v="0.28360000000000002"/>
    <x v="3"/>
    <n v="1"/>
    <n v="1"/>
    <s v="Weekend"/>
    <s v="Morning"/>
    <s v="Low"/>
  </r>
  <r>
    <n v="193"/>
    <d v="2011-01-09T00:00:00"/>
    <x v="0"/>
    <n v="0"/>
    <x v="0"/>
    <x v="7"/>
    <b v="0"/>
    <n v="0"/>
    <x v="0"/>
    <n v="0.08"/>
    <n v="9.0899999999999995E-2"/>
    <n v="0.53"/>
    <n v="0.19400000000000001"/>
    <x v="5"/>
    <n v="5"/>
    <n v="6"/>
    <s v="Weekend"/>
    <s v="Morning"/>
    <s v="Low"/>
  </r>
  <r>
    <n v="194"/>
    <d v="2011-01-09T00:00:00"/>
    <x v="0"/>
    <n v="0"/>
    <x v="0"/>
    <x v="8"/>
    <b v="0"/>
    <n v="0"/>
    <x v="0"/>
    <n v="0.1"/>
    <n v="9.0899999999999995E-2"/>
    <n v="0.49"/>
    <n v="0.28360000000000002"/>
    <x v="3"/>
    <n v="10"/>
    <n v="10"/>
    <s v="Weekend"/>
    <s v="Morning"/>
    <s v="Low"/>
  </r>
  <r>
    <n v="195"/>
    <d v="2011-01-09T00:00:00"/>
    <x v="0"/>
    <n v="0"/>
    <x v="0"/>
    <x v="9"/>
    <b v="0"/>
    <n v="0"/>
    <x v="0"/>
    <n v="0.12"/>
    <n v="7.5800000000000006E-2"/>
    <n v="0.46"/>
    <n v="0.52239999999999998"/>
    <x v="3"/>
    <n v="19"/>
    <n v="19"/>
    <s v="Weekend"/>
    <s v="Morning"/>
    <s v="Low"/>
  </r>
  <r>
    <n v="196"/>
    <d v="2011-01-09T00:00:00"/>
    <x v="0"/>
    <n v="0"/>
    <x v="0"/>
    <x v="10"/>
    <b v="0"/>
    <n v="0"/>
    <x v="0"/>
    <n v="0.14000000000000001"/>
    <n v="0.1061"/>
    <n v="0.43"/>
    <n v="0.3881"/>
    <x v="3"/>
    <n v="49"/>
    <n v="49"/>
    <s v="Weekend"/>
    <s v="Morning"/>
    <s v="Low"/>
  </r>
  <r>
    <n v="197"/>
    <d v="2011-01-09T00:00:00"/>
    <x v="0"/>
    <n v="0"/>
    <x v="0"/>
    <x v="11"/>
    <b v="0"/>
    <n v="0"/>
    <x v="0"/>
    <n v="0.16"/>
    <n v="0.1212"/>
    <n v="0.4"/>
    <n v="0.52239999999999998"/>
    <x v="4"/>
    <n v="47"/>
    <n v="49"/>
    <s v="Weekend"/>
    <s v="Morning"/>
    <s v="Low"/>
  </r>
  <r>
    <n v="198"/>
    <d v="2011-01-09T00:00:00"/>
    <x v="0"/>
    <n v="0"/>
    <x v="0"/>
    <x v="12"/>
    <b v="0"/>
    <n v="0"/>
    <x v="0"/>
    <n v="0.18"/>
    <n v="0.13639999999999999"/>
    <n v="0.37"/>
    <n v="0.44779999999999998"/>
    <x v="17"/>
    <n v="79"/>
    <n v="83"/>
    <s v="Weekend"/>
    <s v="Afternoon"/>
    <s v="Low"/>
  </r>
  <r>
    <n v="199"/>
    <d v="2011-01-09T00:00:00"/>
    <x v="0"/>
    <n v="0"/>
    <x v="0"/>
    <x v="13"/>
    <b v="0"/>
    <n v="0"/>
    <x v="0"/>
    <n v="0.2"/>
    <n v="0.16669999999999999"/>
    <n v="0.34"/>
    <n v="0.44779999999999998"/>
    <x v="15"/>
    <n v="69"/>
    <n v="75"/>
    <s v="Weekend"/>
    <s v="Afternoon"/>
    <s v="Low"/>
  </r>
  <r>
    <n v="200"/>
    <d v="2011-01-09T00:00:00"/>
    <x v="0"/>
    <n v="0"/>
    <x v="0"/>
    <x v="14"/>
    <b v="0"/>
    <n v="0"/>
    <x v="0"/>
    <n v="0.22"/>
    <n v="0.18179999999999999"/>
    <n v="0.32"/>
    <n v="0.4627"/>
    <x v="1"/>
    <n v="64"/>
    <n v="72"/>
    <s v="Weekend"/>
    <s v="Afternoon"/>
    <s v="Low"/>
  </r>
  <r>
    <n v="201"/>
    <d v="2011-01-09T00:00:00"/>
    <x v="0"/>
    <n v="0"/>
    <x v="0"/>
    <x v="15"/>
    <b v="0"/>
    <n v="0"/>
    <x v="0"/>
    <n v="0.22"/>
    <n v="0.19700000000000001"/>
    <n v="0.35"/>
    <n v="0.35820000000000002"/>
    <x v="2"/>
    <n v="77"/>
    <n v="82"/>
    <s v="Weekend"/>
    <s v="Afternoon"/>
    <s v="Low"/>
  </r>
  <r>
    <n v="202"/>
    <d v="2011-01-09T00:00:00"/>
    <x v="0"/>
    <n v="0"/>
    <x v="0"/>
    <x v="16"/>
    <b v="0"/>
    <n v="0"/>
    <x v="0"/>
    <n v="0.2"/>
    <n v="0.16669999999999999"/>
    <n v="0.34"/>
    <n v="0.44779999999999998"/>
    <x v="23"/>
    <n v="79"/>
    <n v="92"/>
    <s v="Weekend"/>
    <s v="Afternoon"/>
    <s v="Low"/>
  </r>
  <r>
    <n v="203"/>
    <d v="2011-01-09T00:00:00"/>
    <x v="0"/>
    <n v="0"/>
    <x v="0"/>
    <x v="17"/>
    <b v="0"/>
    <n v="0"/>
    <x v="0"/>
    <n v="0.18"/>
    <n v="0.1515"/>
    <n v="0.37"/>
    <n v="0.3881"/>
    <x v="0"/>
    <n v="59"/>
    <n v="62"/>
    <s v="Weekend"/>
    <s v="Afternoon"/>
    <s v="Low"/>
  </r>
  <r>
    <n v="204"/>
    <d v="2011-01-09T00:00:00"/>
    <x v="0"/>
    <n v="0"/>
    <x v="0"/>
    <x v="18"/>
    <b v="0"/>
    <n v="0"/>
    <x v="0"/>
    <n v="0.16"/>
    <n v="0.13639999999999999"/>
    <n v="0.4"/>
    <n v="0.32840000000000003"/>
    <x v="17"/>
    <n v="44"/>
    <n v="48"/>
    <s v="Weekend"/>
    <s v="Evening"/>
    <s v="Low"/>
  </r>
  <r>
    <n v="205"/>
    <d v="2011-01-09T00:00:00"/>
    <x v="0"/>
    <n v="0"/>
    <x v="0"/>
    <x v="19"/>
    <b v="0"/>
    <n v="0"/>
    <x v="0"/>
    <n v="0.16"/>
    <n v="0.13639999999999999"/>
    <n v="0.43"/>
    <n v="0.32840000000000003"/>
    <x v="5"/>
    <n v="40"/>
    <n v="41"/>
    <s v="Weekend"/>
    <s v="Evening"/>
    <s v="Low"/>
  </r>
  <r>
    <n v="206"/>
    <d v="2011-01-09T00:00:00"/>
    <x v="0"/>
    <n v="0"/>
    <x v="0"/>
    <x v="20"/>
    <b v="0"/>
    <n v="0"/>
    <x v="0"/>
    <n v="0.14000000000000001"/>
    <n v="0.1212"/>
    <n v="0.46"/>
    <n v="0.25369999999999998"/>
    <x v="3"/>
    <n v="38"/>
    <n v="38"/>
    <s v="Weekend"/>
    <s v="Evening"/>
    <s v="Low"/>
  </r>
  <r>
    <n v="207"/>
    <d v="2011-01-09T00:00:00"/>
    <x v="0"/>
    <n v="0"/>
    <x v="0"/>
    <x v="21"/>
    <b v="0"/>
    <n v="0"/>
    <x v="0"/>
    <n v="0.14000000000000001"/>
    <n v="0.1061"/>
    <n v="0.46"/>
    <n v="0.41789999999999999"/>
    <x v="5"/>
    <n v="19"/>
    <n v="20"/>
    <s v="Weekend"/>
    <s v="Evening"/>
    <s v="Low"/>
  </r>
  <r>
    <n v="208"/>
    <d v="2011-01-09T00:00:00"/>
    <x v="0"/>
    <n v="0"/>
    <x v="0"/>
    <x v="22"/>
    <b v="0"/>
    <n v="0"/>
    <x v="0"/>
    <n v="0.14000000000000001"/>
    <n v="0.1212"/>
    <n v="0.46"/>
    <n v="0.29849999999999999"/>
    <x v="2"/>
    <n v="10"/>
    <n v="15"/>
    <s v="Weekend"/>
    <s v="Evening"/>
    <s v="Low"/>
  </r>
  <r>
    <n v="209"/>
    <d v="2011-01-09T00:00:00"/>
    <x v="0"/>
    <n v="0"/>
    <x v="0"/>
    <x v="23"/>
    <b v="0"/>
    <n v="0"/>
    <x v="0"/>
    <n v="0.12"/>
    <n v="0.13639999999999999"/>
    <n v="0.5"/>
    <n v="0.19400000000000001"/>
    <x v="3"/>
    <n v="6"/>
    <n v="6"/>
    <s v="Weekend"/>
    <s v="Evening"/>
    <s v="Low"/>
  </r>
  <r>
    <n v="210"/>
    <d v="2011-01-10T00:00:00"/>
    <x v="0"/>
    <n v="0"/>
    <x v="0"/>
    <x v="0"/>
    <b v="0"/>
    <n v="1"/>
    <x v="0"/>
    <n v="0.12"/>
    <n v="0.1212"/>
    <n v="0.5"/>
    <n v="0.28360000000000002"/>
    <x v="4"/>
    <n v="3"/>
    <n v="5"/>
    <s v="Weekday"/>
    <s v="Morning"/>
    <s v="Low"/>
  </r>
  <r>
    <n v="211"/>
    <d v="2011-01-10T00:00:00"/>
    <x v="0"/>
    <n v="0"/>
    <x v="0"/>
    <x v="1"/>
    <b v="0"/>
    <n v="1"/>
    <x v="0"/>
    <n v="0.12"/>
    <n v="0.1212"/>
    <n v="0.5"/>
    <n v="0.28360000000000002"/>
    <x v="5"/>
    <n v="0"/>
    <n v="1"/>
    <s v="Weekday"/>
    <s v="Morning"/>
    <s v="Low"/>
  </r>
  <r>
    <n v="212"/>
    <d v="2011-01-10T00:00:00"/>
    <x v="0"/>
    <n v="0"/>
    <x v="0"/>
    <x v="2"/>
    <b v="0"/>
    <n v="1"/>
    <x v="0"/>
    <n v="0.12"/>
    <n v="0.1212"/>
    <n v="0.5"/>
    <n v="0.22389999999999999"/>
    <x v="3"/>
    <n v="3"/>
    <n v="3"/>
    <s v="Weekday"/>
    <s v="Morning"/>
    <s v="Low"/>
  </r>
  <r>
    <n v="213"/>
    <d v="2011-01-10T00:00:00"/>
    <x v="0"/>
    <n v="0"/>
    <x v="0"/>
    <x v="3"/>
    <b v="0"/>
    <n v="1"/>
    <x v="0"/>
    <n v="0.12"/>
    <n v="0.1212"/>
    <n v="0.5"/>
    <n v="0.22389999999999999"/>
    <x v="3"/>
    <n v="1"/>
    <n v="1"/>
    <s v="Weekday"/>
    <s v="Morning"/>
    <s v="Low"/>
  </r>
  <r>
    <n v="214"/>
    <d v="2011-01-10T00:00:00"/>
    <x v="0"/>
    <n v="0"/>
    <x v="0"/>
    <x v="4"/>
    <b v="0"/>
    <n v="1"/>
    <x v="0"/>
    <n v="0.1"/>
    <n v="0.1212"/>
    <n v="0.54"/>
    <n v="0.1343"/>
    <x v="5"/>
    <n v="2"/>
    <n v="3"/>
    <s v="Weekday"/>
    <s v="Morning"/>
    <s v="Low"/>
  </r>
  <r>
    <n v="215"/>
    <d v="2011-01-10T00:00:00"/>
    <x v="0"/>
    <n v="0"/>
    <x v="0"/>
    <x v="5"/>
    <b v="0"/>
    <n v="1"/>
    <x v="0"/>
    <n v="0.1"/>
    <n v="0.1061"/>
    <n v="0.54"/>
    <n v="0.25369999999999998"/>
    <x v="3"/>
    <n v="3"/>
    <n v="3"/>
    <s v="Weekday"/>
    <s v="Morning"/>
    <s v="Low"/>
  </r>
  <r>
    <n v="216"/>
    <d v="2011-01-10T00:00:00"/>
    <x v="0"/>
    <n v="0"/>
    <x v="0"/>
    <x v="6"/>
    <b v="0"/>
    <n v="1"/>
    <x v="0"/>
    <n v="0.12"/>
    <n v="0.1212"/>
    <n v="0.5"/>
    <n v="0.28360000000000002"/>
    <x v="3"/>
    <n v="31"/>
    <n v="31"/>
    <s v="Weekday"/>
    <s v="Morning"/>
    <s v="Low"/>
  </r>
  <r>
    <n v="217"/>
    <d v="2011-01-10T00:00:00"/>
    <x v="0"/>
    <n v="0"/>
    <x v="0"/>
    <x v="7"/>
    <b v="0"/>
    <n v="1"/>
    <x v="0"/>
    <n v="0.12"/>
    <n v="0.1212"/>
    <n v="0.5"/>
    <n v="0.22389999999999999"/>
    <x v="4"/>
    <n v="75"/>
    <n v="77"/>
    <s v="Weekday"/>
    <s v="Morning"/>
    <s v="Low"/>
  </r>
  <r>
    <n v="218"/>
    <d v="2011-01-10T00:00:00"/>
    <x v="0"/>
    <n v="0"/>
    <x v="0"/>
    <x v="8"/>
    <b v="0"/>
    <n v="1"/>
    <x v="1"/>
    <n v="0.12"/>
    <n v="0.1212"/>
    <n v="0.5"/>
    <n v="0.28360000000000002"/>
    <x v="17"/>
    <n v="184"/>
    <n v="188"/>
    <s v="Weekday"/>
    <s v="Morning"/>
    <s v="High"/>
  </r>
  <r>
    <n v="219"/>
    <d v="2011-01-10T00:00:00"/>
    <x v="0"/>
    <n v="0"/>
    <x v="0"/>
    <x v="9"/>
    <b v="0"/>
    <n v="1"/>
    <x v="1"/>
    <n v="0.14000000000000001"/>
    <n v="0.1212"/>
    <n v="0.5"/>
    <n v="0.25369999999999998"/>
    <x v="4"/>
    <n v="92"/>
    <n v="94"/>
    <s v="Weekday"/>
    <s v="Morning"/>
    <s v="Low"/>
  </r>
  <r>
    <n v="220"/>
    <d v="2011-01-10T00:00:00"/>
    <x v="0"/>
    <n v="0"/>
    <x v="0"/>
    <x v="10"/>
    <b v="0"/>
    <n v="1"/>
    <x v="1"/>
    <n v="0.14000000000000001"/>
    <n v="0.1212"/>
    <n v="0.5"/>
    <n v="0.29849999999999999"/>
    <x v="3"/>
    <n v="31"/>
    <n v="31"/>
    <s v="Weekday"/>
    <s v="Morning"/>
    <s v="Low"/>
  </r>
  <r>
    <n v="221"/>
    <d v="2011-01-10T00:00:00"/>
    <x v="0"/>
    <n v="0"/>
    <x v="0"/>
    <x v="11"/>
    <b v="0"/>
    <n v="1"/>
    <x v="1"/>
    <n v="0.16"/>
    <n v="0.13639999999999999"/>
    <n v="0.47"/>
    <n v="0.28360000000000002"/>
    <x v="4"/>
    <n v="28"/>
    <n v="30"/>
    <s v="Weekday"/>
    <s v="Morning"/>
    <s v="Low"/>
  </r>
  <r>
    <n v="222"/>
    <d v="2011-01-10T00:00:00"/>
    <x v="0"/>
    <n v="0"/>
    <x v="0"/>
    <x v="12"/>
    <b v="0"/>
    <n v="1"/>
    <x v="1"/>
    <n v="0.2"/>
    <n v="0.18179999999999999"/>
    <n v="0.4"/>
    <n v="0.28360000000000002"/>
    <x v="2"/>
    <n v="47"/>
    <n v="52"/>
    <s v="Weekday"/>
    <s v="Afternoon"/>
    <s v="Low"/>
  </r>
  <r>
    <n v="223"/>
    <d v="2011-01-10T00:00:00"/>
    <x v="0"/>
    <n v="0"/>
    <x v="0"/>
    <x v="13"/>
    <b v="0"/>
    <n v="1"/>
    <x v="1"/>
    <n v="0.2"/>
    <n v="0.18179999999999999"/>
    <n v="0.4"/>
    <n v="0.28360000000000002"/>
    <x v="17"/>
    <n v="50"/>
    <n v="54"/>
    <s v="Weekday"/>
    <s v="Afternoon"/>
    <s v="Low"/>
  </r>
  <r>
    <n v="224"/>
    <d v="2011-01-10T00:00:00"/>
    <x v="0"/>
    <n v="0"/>
    <x v="0"/>
    <x v="14"/>
    <b v="0"/>
    <n v="1"/>
    <x v="1"/>
    <n v="0.2"/>
    <n v="0.19700000000000001"/>
    <n v="0.4"/>
    <n v="0.22389999999999999"/>
    <x v="3"/>
    <n v="47"/>
    <n v="47"/>
    <s v="Weekday"/>
    <s v="Afternoon"/>
    <s v="Low"/>
  </r>
  <r>
    <n v="225"/>
    <d v="2011-01-10T00:00:00"/>
    <x v="0"/>
    <n v="0"/>
    <x v="0"/>
    <x v="15"/>
    <b v="0"/>
    <n v="1"/>
    <x v="1"/>
    <n v="0.2"/>
    <n v="0.19700000000000001"/>
    <n v="0.4"/>
    <n v="0.22389999999999999"/>
    <x v="4"/>
    <n v="43"/>
    <n v="45"/>
    <s v="Weekday"/>
    <s v="Afternoon"/>
    <s v="Low"/>
  </r>
  <r>
    <n v="226"/>
    <d v="2011-01-10T00:00:00"/>
    <x v="0"/>
    <n v="0"/>
    <x v="0"/>
    <x v="16"/>
    <b v="0"/>
    <n v="1"/>
    <x v="0"/>
    <n v="0.2"/>
    <n v="0.21210000000000001"/>
    <n v="0.4"/>
    <n v="0.1343"/>
    <x v="17"/>
    <n v="70"/>
    <n v="74"/>
    <s v="Weekday"/>
    <s v="Afternoon"/>
    <s v="Low"/>
  </r>
  <r>
    <n v="227"/>
    <d v="2011-01-10T00:00:00"/>
    <x v="0"/>
    <n v="0"/>
    <x v="0"/>
    <x v="17"/>
    <b v="0"/>
    <n v="1"/>
    <x v="0"/>
    <n v="0.2"/>
    <n v="0.2273"/>
    <n v="0.4"/>
    <n v="0.1045"/>
    <x v="17"/>
    <n v="174"/>
    <n v="178"/>
    <s v="Weekday"/>
    <s v="Afternoon"/>
    <s v="High"/>
  </r>
  <r>
    <n v="228"/>
    <d v="2011-01-10T00:00:00"/>
    <x v="0"/>
    <n v="0"/>
    <x v="0"/>
    <x v="18"/>
    <b v="0"/>
    <n v="1"/>
    <x v="0"/>
    <n v="0.2"/>
    <n v="0.19700000000000001"/>
    <n v="0.4"/>
    <n v="0.22389999999999999"/>
    <x v="5"/>
    <n v="154"/>
    <n v="155"/>
    <s v="Weekday"/>
    <s v="Evening"/>
    <s v="High"/>
  </r>
  <r>
    <n v="229"/>
    <d v="2011-01-10T00:00:00"/>
    <x v="0"/>
    <n v="0"/>
    <x v="0"/>
    <x v="19"/>
    <b v="0"/>
    <n v="1"/>
    <x v="0"/>
    <n v="0.16"/>
    <n v="0.16669999999999999"/>
    <n v="0.47"/>
    <n v="0.16420000000000001"/>
    <x v="0"/>
    <n v="92"/>
    <n v="95"/>
    <s v="Weekday"/>
    <s v="Evening"/>
    <s v="Low"/>
  </r>
  <r>
    <n v="230"/>
    <d v="2011-01-10T00:00:00"/>
    <x v="0"/>
    <n v="0"/>
    <x v="0"/>
    <x v="20"/>
    <b v="0"/>
    <n v="1"/>
    <x v="0"/>
    <n v="0.16"/>
    <n v="0.16669999999999999"/>
    <n v="0.5"/>
    <n v="0.16420000000000001"/>
    <x v="5"/>
    <n v="73"/>
    <n v="74"/>
    <s v="Weekday"/>
    <s v="Evening"/>
    <s v="Low"/>
  </r>
  <r>
    <n v="231"/>
    <d v="2011-01-10T00:00:00"/>
    <x v="0"/>
    <n v="0"/>
    <x v="0"/>
    <x v="21"/>
    <b v="0"/>
    <n v="1"/>
    <x v="0"/>
    <n v="0.14000000000000001"/>
    <n v="0.13639999999999999"/>
    <n v="0.59"/>
    <n v="0.19400000000000001"/>
    <x v="5"/>
    <n v="37"/>
    <n v="38"/>
    <s v="Weekday"/>
    <s v="Evening"/>
    <s v="Low"/>
  </r>
  <r>
    <n v="232"/>
    <d v="2011-01-10T00:00:00"/>
    <x v="0"/>
    <n v="0"/>
    <x v="0"/>
    <x v="22"/>
    <b v="0"/>
    <n v="1"/>
    <x v="0"/>
    <n v="0.14000000000000001"/>
    <n v="0.1515"/>
    <n v="0.59"/>
    <n v="0.16420000000000001"/>
    <x v="4"/>
    <n v="22"/>
    <n v="24"/>
    <s v="Weekday"/>
    <s v="Evening"/>
    <s v="Low"/>
  </r>
  <r>
    <n v="233"/>
    <d v="2011-01-10T00:00:00"/>
    <x v="0"/>
    <n v="0"/>
    <x v="0"/>
    <x v="23"/>
    <b v="0"/>
    <n v="1"/>
    <x v="0"/>
    <n v="0.14000000000000001"/>
    <n v="0.1515"/>
    <n v="0.59"/>
    <n v="0.16420000000000001"/>
    <x v="3"/>
    <n v="18"/>
    <n v="18"/>
    <s v="Weekday"/>
    <s v="Evening"/>
    <s v="Low"/>
  </r>
  <r>
    <n v="234"/>
    <d v="2011-01-11T00:00:00"/>
    <x v="0"/>
    <n v="0"/>
    <x v="0"/>
    <x v="0"/>
    <b v="0"/>
    <n v="2"/>
    <x v="0"/>
    <n v="0.14000000000000001"/>
    <n v="0.16669999999999999"/>
    <n v="0.59"/>
    <n v="0.1045"/>
    <x v="4"/>
    <n v="10"/>
    <n v="12"/>
    <s v="Weekday"/>
    <s v="Morning"/>
    <s v="Low"/>
  </r>
  <r>
    <n v="235"/>
    <d v="2011-01-11T00:00:00"/>
    <x v="0"/>
    <n v="0"/>
    <x v="0"/>
    <x v="1"/>
    <b v="0"/>
    <n v="2"/>
    <x v="0"/>
    <n v="0.14000000000000001"/>
    <n v="0.1515"/>
    <n v="0.59"/>
    <n v="0.16420000000000001"/>
    <x v="3"/>
    <n v="3"/>
    <n v="3"/>
    <s v="Weekday"/>
    <s v="Morning"/>
    <s v="Low"/>
  </r>
  <r>
    <n v="236"/>
    <d v="2011-01-11T00:00:00"/>
    <x v="0"/>
    <n v="0"/>
    <x v="0"/>
    <x v="2"/>
    <b v="0"/>
    <n v="2"/>
    <x v="1"/>
    <n v="0.16"/>
    <n v="0.1515"/>
    <n v="0.55000000000000004"/>
    <n v="0.19400000000000001"/>
    <x v="3"/>
    <n v="3"/>
    <n v="3"/>
    <s v="Weekday"/>
    <s v="Morning"/>
    <s v="Low"/>
  </r>
  <r>
    <n v="237"/>
    <d v="2011-01-11T00:00:00"/>
    <x v="0"/>
    <n v="0"/>
    <x v="0"/>
    <x v="5"/>
    <b v="0"/>
    <n v="2"/>
    <x v="1"/>
    <n v="0.16"/>
    <n v="0.18179999999999999"/>
    <n v="0.55000000000000004"/>
    <n v="0.1343"/>
    <x v="3"/>
    <n v="6"/>
    <n v="6"/>
    <s v="Weekday"/>
    <s v="Morning"/>
    <s v="Low"/>
  </r>
  <r>
    <n v="238"/>
    <d v="2011-01-11T00:00:00"/>
    <x v="0"/>
    <n v="0"/>
    <x v="0"/>
    <x v="6"/>
    <b v="0"/>
    <n v="2"/>
    <x v="1"/>
    <n v="0.16"/>
    <n v="0.18179999999999999"/>
    <n v="0.55000000000000004"/>
    <n v="0.1343"/>
    <x v="3"/>
    <n v="27"/>
    <n v="27"/>
    <s v="Weekday"/>
    <s v="Morning"/>
    <s v="Low"/>
  </r>
  <r>
    <n v="239"/>
    <d v="2011-01-11T00:00:00"/>
    <x v="0"/>
    <n v="0"/>
    <x v="0"/>
    <x v="7"/>
    <b v="0"/>
    <n v="2"/>
    <x v="1"/>
    <n v="0.16"/>
    <n v="0.2273"/>
    <n v="0.55000000000000004"/>
    <n v="0"/>
    <x v="4"/>
    <n v="97"/>
    <n v="99"/>
    <s v="Weekday"/>
    <s v="Morning"/>
    <s v="Low"/>
  </r>
  <r>
    <n v="240"/>
    <d v="2011-01-11T00:00:00"/>
    <x v="0"/>
    <n v="0"/>
    <x v="0"/>
    <x v="8"/>
    <b v="0"/>
    <n v="2"/>
    <x v="1"/>
    <n v="0.18"/>
    <n v="0.21210000000000001"/>
    <n v="0.51"/>
    <n v="8.9599999999999999E-2"/>
    <x v="0"/>
    <n v="214"/>
    <n v="217"/>
    <s v="Weekday"/>
    <s v="Morning"/>
    <s v="High"/>
  </r>
  <r>
    <n v="241"/>
    <d v="2011-01-11T00:00:00"/>
    <x v="0"/>
    <n v="0"/>
    <x v="0"/>
    <x v="9"/>
    <b v="0"/>
    <n v="2"/>
    <x v="1"/>
    <n v="0.18"/>
    <n v="0.19700000000000001"/>
    <n v="0.51"/>
    <n v="0.16420000000000001"/>
    <x v="0"/>
    <n v="127"/>
    <n v="130"/>
    <s v="Weekday"/>
    <s v="Morning"/>
    <s v="High"/>
  </r>
  <r>
    <n v="242"/>
    <d v="2011-01-11T00:00:00"/>
    <x v="0"/>
    <n v="0"/>
    <x v="0"/>
    <x v="10"/>
    <b v="0"/>
    <n v="2"/>
    <x v="1"/>
    <n v="0.2"/>
    <n v="0.21210000000000001"/>
    <n v="0.51"/>
    <n v="0.16420000000000001"/>
    <x v="0"/>
    <n v="51"/>
    <n v="54"/>
    <s v="Weekday"/>
    <s v="Morning"/>
    <s v="Low"/>
  </r>
  <r>
    <n v="243"/>
    <d v="2011-01-11T00:00:00"/>
    <x v="0"/>
    <n v="0"/>
    <x v="0"/>
    <x v="11"/>
    <b v="0"/>
    <n v="2"/>
    <x v="1"/>
    <n v="0.2"/>
    <n v="0.21210000000000001"/>
    <n v="0.47"/>
    <n v="0.1343"/>
    <x v="17"/>
    <n v="31"/>
    <n v="35"/>
    <s v="Weekday"/>
    <s v="Morning"/>
    <s v="Low"/>
  </r>
  <r>
    <n v="244"/>
    <d v="2011-01-11T00:00:00"/>
    <x v="0"/>
    <n v="0"/>
    <x v="0"/>
    <x v="12"/>
    <b v="0"/>
    <n v="2"/>
    <x v="1"/>
    <n v="0.2"/>
    <n v="0.2273"/>
    <n v="0.51"/>
    <n v="0.1045"/>
    <x v="4"/>
    <n v="55"/>
    <n v="57"/>
    <s v="Weekday"/>
    <s v="Afternoon"/>
    <s v="Low"/>
  </r>
  <r>
    <n v="245"/>
    <d v="2011-01-11T00:00:00"/>
    <x v="0"/>
    <n v="0"/>
    <x v="0"/>
    <x v="13"/>
    <b v="0"/>
    <n v="2"/>
    <x v="1"/>
    <n v="0.2"/>
    <n v="0.2273"/>
    <n v="0.59"/>
    <n v="8.9599999999999999E-2"/>
    <x v="15"/>
    <n v="46"/>
    <n v="52"/>
    <s v="Weekday"/>
    <s v="Afternoon"/>
    <s v="Low"/>
  </r>
  <r>
    <n v="246"/>
    <d v="2011-01-11T00:00:00"/>
    <x v="0"/>
    <n v="0"/>
    <x v="0"/>
    <x v="14"/>
    <b v="0"/>
    <n v="2"/>
    <x v="1"/>
    <n v="0.2"/>
    <n v="0.2273"/>
    <n v="0.59"/>
    <n v="8.9599999999999999E-2"/>
    <x v="0"/>
    <n v="60"/>
    <n v="63"/>
    <s v="Weekday"/>
    <s v="Afternoon"/>
    <s v="Low"/>
  </r>
  <r>
    <n v="247"/>
    <d v="2011-01-11T00:00:00"/>
    <x v="0"/>
    <n v="0"/>
    <x v="0"/>
    <x v="15"/>
    <b v="0"/>
    <n v="2"/>
    <x v="1"/>
    <n v="0.16"/>
    <n v="0.19700000000000001"/>
    <n v="0.8"/>
    <n v="8.9599999999999999E-2"/>
    <x v="4"/>
    <n v="45"/>
    <n v="47"/>
    <s v="Weekday"/>
    <s v="Afternoon"/>
    <s v="Low"/>
  </r>
  <r>
    <n v="248"/>
    <d v="2011-01-11T00:00:00"/>
    <x v="0"/>
    <n v="0"/>
    <x v="0"/>
    <x v="16"/>
    <b v="0"/>
    <n v="2"/>
    <x v="1"/>
    <n v="0.16"/>
    <n v="0.1515"/>
    <n v="0.86"/>
    <n v="0.22389999999999999"/>
    <x v="17"/>
    <n v="72"/>
    <n v="76"/>
    <s v="Weekday"/>
    <s v="Afternoon"/>
    <s v="Low"/>
  </r>
  <r>
    <n v="249"/>
    <d v="2011-01-11T00:00:00"/>
    <x v="0"/>
    <n v="0"/>
    <x v="0"/>
    <x v="17"/>
    <b v="0"/>
    <n v="2"/>
    <x v="1"/>
    <n v="0.16"/>
    <n v="0.1515"/>
    <n v="0.86"/>
    <n v="0.22389999999999999"/>
    <x v="15"/>
    <n v="130"/>
    <n v="136"/>
    <s v="Weekday"/>
    <s v="Afternoon"/>
    <s v="High"/>
  </r>
  <r>
    <n v="250"/>
    <d v="2011-01-11T00:00:00"/>
    <x v="0"/>
    <n v="0"/>
    <x v="0"/>
    <x v="18"/>
    <b v="0"/>
    <n v="2"/>
    <x v="2"/>
    <n v="0.16"/>
    <n v="0.18179999999999999"/>
    <n v="0.93"/>
    <n v="0.1045"/>
    <x v="5"/>
    <n v="94"/>
    <n v="95"/>
    <s v="Weekday"/>
    <s v="Evening"/>
    <s v="Low"/>
  </r>
  <r>
    <n v="251"/>
    <d v="2011-01-11T00:00:00"/>
    <x v="0"/>
    <n v="0"/>
    <x v="0"/>
    <x v="19"/>
    <b v="0"/>
    <n v="2"/>
    <x v="2"/>
    <n v="0.16"/>
    <n v="0.2273"/>
    <n v="0.93"/>
    <n v="0"/>
    <x v="3"/>
    <n v="51"/>
    <n v="51"/>
    <s v="Weekday"/>
    <s v="Evening"/>
    <s v="Low"/>
  </r>
  <r>
    <n v="252"/>
    <d v="2011-01-11T00:00:00"/>
    <x v="0"/>
    <n v="0"/>
    <x v="0"/>
    <x v="20"/>
    <b v="0"/>
    <n v="2"/>
    <x v="2"/>
    <n v="0.16"/>
    <n v="0.1515"/>
    <n v="0.93"/>
    <n v="0.19400000000000001"/>
    <x v="3"/>
    <n v="32"/>
    <n v="32"/>
    <s v="Weekday"/>
    <s v="Evening"/>
    <s v="Low"/>
  </r>
  <r>
    <n v="253"/>
    <d v="2011-01-11T00:00:00"/>
    <x v="0"/>
    <n v="0"/>
    <x v="0"/>
    <x v="21"/>
    <b v="0"/>
    <n v="2"/>
    <x v="2"/>
    <n v="0.16"/>
    <n v="0.19700000000000001"/>
    <n v="0.86"/>
    <n v="8.9599999999999999E-2"/>
    <x v="3"/>
    <n v="20"/>
    <n v="20"/>
    <s v="Weekday"/>
    <s v="Evening"/>
    <s v="Low"/>
  </r>
  <r>
    <n v="254"/>
    <d v="2011-01-11T00:00:00"/>
    <x v="0"/>
    <n v="0"/>
    <x v="0"/>
    <x v="22"/>
    <b v="0"/>
    <n v="2"/>
    <x v="2"/>
    <n v="0.16"/>
    <n v="0.18179999999999999"/>
    <n v="0.93"/>
    <n v="0.1045"/>
    <x v="5"/>
    <n v="28"/>
    <n v="29"/>
    <s v="Weekday"/>
    <s v="Evening"/>
    <s v="Low"/>
  </r>
  <r>
    <n v="255"/>
    <d v="2011-01-11T00:00:00"/>
    <x v="0"/>
    <n v="0"/>
    <x v="0"/>
    <x v="23"/>
    <b v="0"/>
    <n v="2"/>
    <x v="2"/>
    <n v="0.16"/>
    <n v="0.19700000000000001"/>
    <n v="0.93"/>
    <n v="8.9599999999999999E-2"/>
    <x v="5"/>
    <n v="18"/>
    <n v="19"/>
    <s v="Weekday"/>
    <s v="Evening"/>
    <s v="Low"/>
  </r>
  <r>
    <n v="256"/>
    <d v="2011-01-12T00:00:00"/>
    <x v="0"/>
    <n v="0"/>
    <x v="0"/>
    <x v="0"/>
    <b v="0"/>
    <n v="3"/>
    <x v="1"/>
    <n v="0.16"/>
    <n v="0.19700000000000001"/>
    <n v="0.86"/>
    <n v="8.9599999999999999E-2"/>
    <x v="3"/>
    <n v="7"/>
    <n v="7"/>
    <s v="Weekday"/>
    <s v="Morning"/>
    <s v="Low"/>
  </r>
  <r>
    <n v="257"/>
    <d v="2011-01-12T00:00:00"/>
    <x v="0"/>
    <n v="0"/>
    <x v="0"/>
    <x v="1"/>
    <b v="0"/>
    <n v="3"/>
    <x v="1"/>
    <n v="0.16"/>
    <n v="0.18179999999999999"/>
    <n v="0.86"/>
    <n v="0.1045"/>
    <x v="3"/>
    <n v="6"/>
    <n v="6"/>
    <s v="Weekday"/>
    <s v="Morning"/>
    <s v="Low"/>
  </r>
  <r>
    <n v="258"/>
    <d v="2011-01-12T00:00:00"/>
    <x v="0"/>
    <n v="0"/>
    <x v="0"/>
    <x v="2"/>
    <b v="0"/>
    <n v="3"/>
    <x v="0"/>
    <n v="0.14000000000000001"/>
    <n v="0.1515"/>
    <n v="0.86"/>
    <n v="0.1343"/>
    <x v="3"/>
    <n v="1"/>
    <n v="1"/>
    <s v="Weekday"/>
    <s v="Morning"/>
    <s v="Low"/>
  </r>
  <r>
    <n v="259"/>
    <d v="2011-01-12T00:00:00"/>
    <x v="0"/>
    <n v="0"/>
    <x v="0"/>
    <x v="5"/>
    <b v="0"/>
    <n v="3"/>
    <x v="0"/>
    <n v="0.14000000000000001"/>
    <n v="0.1515"/>
    <n v="0.86"/>
    <n v="0.16420000000000001"/>
    <x v="3"/>
    <n v="5"/>
    <n v="5"/>
    <s v="Weekday"/>
    <s v="Morning"/>
    <s v="Low"/>
  </r>
  <r>
    <n v="260"/>
    <d v="2011-01-12T00:00:00"/>
    <x v="0"/>
    <n v="0"/>
    <x v="0"/>
    <x v="6"/>
    <b v="0"/>
    <n v="3"/>
    <x v="0"/>
    <n v="0.12"/>
    <n v="0.1515"/>
    <n v="0.93"/>
    <n v="0.1343"/>
    <x v="3"/>
    <n v="16"/>
    <n v="16"/>
    <s v="Weekday"/>
    <s v="Morning"/>
    <s v="Low"/>
  </r>
  <r>
    <n v="261"/>
    <d v="2011-01-12T00:00:00"/>
    <x v="0"/>
    <n v="0"/>
    <x v="0"/>
    <x v="7"/>
    <b v="0"/>
    <n v="3"/>
    <x v="0"/>
    <n v="0.14000000000000001"/>
    <n v="0.1515"/>
    <n v="0.69"/>
    <n v="0.1343"/>
    <x v="3"/>
    <n v="54"/>
    <n v="54"/>
    <s v="Weekday"/>
    <s v="Morning"/>
    <s v="Low"/>
  </r>
  <r>
    <n v="262"/>
    <d v="2011-01-12T00:00:00"/>
    <x v="0"/>
    <n v="0"/>
    <x v="0"/>
    <x v="8"/>
    <b v="0"/>
    <n v="3"/>
    <x v="0"/>
    <n v="0.16"/>
    <n v="0.16669999999999999"/>
    <n v="0.59"/>
    <n v="0.16420000000000001"/>
    <x v="0"/>
    <n v="125"/>
    <n v="128"/>
    <s v="Weekday"/>
    <s v="Morning"/>
    <s v="High"/>
  </r>
  <r>
    <n v="263"/>
    <d v="2011-01-12T00:00:00"/>
    <x v="0"/>
    <n v="0"/>
    <x v="0"/>
    <x v="9"/>
    <b v="0"/>
    <n v="3"/>
    <x v="0"/>
    <n v="0.16"/>
    <n v="0.13639999999999999"/>
    <n v="0.59"/>
    <n v="0.32840000000000003"/>
    <x v="0"/>
    <n v="78"/>
    <n v="81"/>
    <s v="Weekday"/>
    <s v="Morning"/>
    <s v="Low"/>
  </r>
  <r>
    <n v="264"/>
    <d v="2011-01-12T00:00:00"/>
    <x v="0"/>
    <n v="0"/>
    <x v="0"/>
    <x v="10"/>
    <b v="0"/>
    <n v="3"/>
    <x v="0"/>
    <n v="0.18"/>
    <n v="0.18179999999999999"/>
    <n v="0.55000000000000004"/>
    <n v="0.22389999999999999"/>
    <x v="3"/>
    <n v="39"/>
    <n v="39"/>
    <s v="Weekday"/>
    <s v="Morning"/>
    <s v="Low"/>
  </r>
  <r>
    <n v="265"/>
    <d v="2011-01-12T00:00:00"/>
    <x v="0"/>
    <n v="0"/>
    <x v="0"/>
    <x v="11"/>
    <b v="0"/>
    <n v="3"/>
    <x v="0"/>
    <n v="0.2"/>
    <n v="0.18179999999999999"/>
    <n v="0.51"/>
    <n v="0.3881"/>
    <x v="0"/>
    <n v="32"/>
    <n v="35"/>
    <s v="Weekday"/>
    <s v="Morning"/>
    <s v="Low"/>
  </r>
  <r>
    <n v="266"/>
    <d v="2011-01-12T00:00:00"/>
    <x v="0"/>
    <n v="0"/>
    <x v="0"/>
    <x v="12"/>
    <b v="0"/>
    <n v="3"/>
    <x v="0"/>
    <n v="0.2"/>
    <n v="0.1515"/>
    <n v="0.47"/>
    <n v="0.58209999999999995"/>
    <x v="0"/>
    <n v="52"/>
    <n v="55"/>
    <s v="Weekday"/>
    <s v="Afternoon"/>
    <s v="Low"/>
  </r>
  <r>
    <n v="267"/>
    <d v="2011-01-12T00:00:00"/>
    <x v="0"/>
    <n v="0"/>
    <x v="0"/>
    <x v="13"/>
    <b v="0"/>
    <n v="3"/>
    <x v="0"/>
    <n v="0.22"/>
    <n v="0.19700000000000001"/>
    <n v="0.44"/>
    <n v="0.35820000000000002"/>
    <x v="3"/>
    <n v="49"/>
    <n v="49"/>
    <s v="Weekday"/>
    <s v="Afternoon"/>
    <s v="Low"/>
  </r>
  <r>
    <n v="268"/>
    <d v="2011-01-12T00:00:00"/>
    <x v="0"/>
    <n v="0"/>
    <x v="0"/>
    <x v="14"/>
    <b v="0"/>
    <n v="3"/>
    <x v="0"/>
    <n v="0.2"/>
    <n v="0.18179999999999999"/>
    <n v="0.47"/>
    <n v="0.32840000000000003"/>
    <x v="3"/>
    <n v="44"/>
    <n v="44"/>
    <s v="Weekday"/>
    <s v="Afternoon"/>
    <s v="Low"/>
  </r>
  <r>
    <n v="269"/>
    <d v="2011-01-12T00:00:00"/>
    <x v="0"/>
    <n v="0"/>
    <x v="0"/>
    <x v="15"/>
    <b v="0"/>
    <n v="3"/>
    <x v="0"/>
    <n v="0.2"/>
    <n v="0.16669999999999999"/>
    <n v="0.47"/>
    <n v="0.41789999999999999"/>
    <x v="5"/>
    <n v="48"/>
    <n v="49"/>
    <s v="Weekday"/>
    <s v="Afternoon"/>
    <s v="Low"/>
  </r>
  <r>
    <n v="270"/>
    <d v="2011-01-12T00:00:00"/>
    <x v="0"/>
    <n v="0"/>
    <x v="0"/>
    <x v="16"/>
    <b v="0"/>
    <n v="3"/>
    <x v="0"/>
    <n v="0.22"/>
    <n v="0.19700000000000001"/>
    <n v="0.44"/>
    <n v="0.32840000000000003"/>
    <x v="2"/>
    <n v="63"/>
    <n v="68"/>
    <s v="Weekday"/>
    <s v="Afternoon"/>
    <s v="Low"/>
  </r>
  <r>
    <n v="271"/>
    <d v="2011-01-12T00:00:00"/>
    <x v="0"/>
    <n v="0"/>
    <x v="0"/>
    <x v="17"/>
    <b v="0"/>
    <n v="3"/>
    <x v="0"/>
    <n v="0.2"/>
    <n v="0.18179999999999999"/>
    <n v="0.47"/>
    <n v="0.35820000000000002"/>
    <x v="3"/>
    <n v="139"/>
    <n v="139"/>
    <s v="Weekday"/>
    <s v="Afternoon"/>
    <s v="High"/>
  </r>
  <r>
    <n v="272"/>
    <d v="2011-01-12T00:00:00"/>
    <x v="0"/>
    <n v="0"/>
    <x v="0"/>
    <x v="18"/>
    <b v="0"/>
    <n v="3"/>
    <x v="0"/>
    <n v="0.2"/>
    <n v="0.1515"/>
    <n v="0.47"/>
    <n v="0.52239999999999998"/>
    <x v="4"/>
    <n v="135"/>
    <n v="137"/>
    <s v="Weekday"/>
    <s v="Evening"/>
    <s v="High"/>
  </r>
  <r>
    <n v="273"/>
    <d v="2011-01-12T00:00:00"/>
    <x v="0"/>
    <n v="0"/>
    <x v="0"/>
    <x v="19"/>
    <b v="0"/>
    <n v="3"/>
    <x v="0"/>
    <n v="0.18"/>
    <n v="0.1515"/>
    <n v="0.47"/>
    <n v="0.41789999999999999"/>
    <x v="5"/>
    <n v="82"/>
    <n v="83"/>
    <s v="Weekday"/>
    <s v="Evening"/>
    <s v="Low"/>
  </r>
  <r>
    <n v="274"/>
    <d v="2011-01-12T00:00:00"/>
    <x v="0"/>
    <n v="0"/>
    <x v="0"/>
    <x v="20"/>
    <b v="0"/>
    <n v="3"/>
    <x v="0"/>
    <n v="0.16"/>
    <n v="0.13639999999999999"/>
    <n v="0.5"/>
    <n v="0.32840000000000003"/>
    <x v="4"/>
    <n v="54"/>
    <n v="56"/>
    <s v="Weekday"/>
    <s v="Evening"/>
    <s v="Low"/>
  </r>
  <r>
    <n v="275"/>
    <d v="2011-01-12T00:00:00"/>
    <x v="0"/>
    <n v="0"/>
    <x v="0"/>
    <x v="21"/>
    <b v="0"/>
    <n v="3"/>
    <x v="0"/>
    <n v="0.16"/>
    <n v="0.13639999999999999"/>
    <n v="0.55000000000000004"/>
    <n v="0.32840000000000003"/>
    <x v="3"/>
    <n v="57"/>
    <n v="57"/>
    <s v="Weekday"/>
    <s v="Evening"/>
    <s v="Low"/>
  </r>
  <r>
    <n v="276"/>
    <d v="2011-01-12T00:00:00"/>
    <x v="0"/>
    <n v="0"/>
    <x v="0"/>
    <x v="22"/>
    <b v="0"/>
    <n v="3"/>
    <x v="0"/>
    <n v="0.16"/>
    <n v="0.1212"/>
    <n v="0.55000000000000004"/>
    <n v="0.44779999999999998"/>
    <x v="5"/>
    <n v="32"/>
    <n v="33"/>
    <s v="Weekday"/>
    <s v="Evening"/>
    <s v="Low"/>
  </r>
  <r>
    <n v="277"/>
    <d v="2011-01-12T00:00:00"/>
    <x v="0"/>
    <n v="0"/>
    <x v="0"/>
    <x v="23"/>
    <b v="0"/>
    <n v="3"/>
    <x v="0"/>
    <n v="0.14000000000000001"/>
    <n v="0.1061"/>
    <n v="0.59"/>
    <n v="0.41789999999999999"/>
    <x v="5"/>
    <n v="19"/>
    <n v="20"/>
    <s v="Weekday"/>
    <s v="Evening"/>
    <s v="Low"/>
  </r>
  <r>
    <n v="278"/>
    <d v="2011-01-13T00:00:00"/>
    <x v="0"/>
    <n v="0"/>
    <x v="0"/>
    <x v="0"/>
    <b v="0"/>
    <n v="4"/>
    <x v="0"/>
    <n v="0.14000000000000001"/>
    <n v="0.1212"/>
    <n v="0.59"/>
    <n v="0.28360000000000002"/>
    <x v="5"/>
    <n v="6"/>
    <n v="7"/>
    <s v="Weekday"/>
    <s v="Morning"/>
    <s v="Low"/>
  </r>
  <r>
    <n v="279"/>
    <d v="2011-01-13T00:00:00"/>
    <x v="0"/>
    <n v="0"/>
    <x v="0"/>
    <x v="1"/>
    <b v="0"/>
    <n v="4"/>
    <x v="0"/>
    <n v="0.14000000000000001"/>
    <n v="0.1212"/>
    <n v="0.5"/>
    <n v="0.28360000000000002"/>
    <x v="3"/>
    <n v="2"/>
    <n v="2"/>
    <s v="Weekday"/>
    <s v="Morning"/>
    <s v="Low"/>
  </r>
  <r>
    <n v="280"/>
    <d v="2011-01-13T00:00:00"/>
    <x v="0"/>
    <n v="0"/>
    <x v="0"/>
    <x v="2"/>
    <b v="0"/>
    <n v="4"/>
    <x v="0"/>
    <n v="0.14000000000000001"/>
    <n v="0.1212"/>
    <n v="0.5"/>
    <n v="0.35820000000000002"/>
    <x v="3"/>
    <n v="2"/>
    <n v="2"/>
    <s v="Weekday"/>
    <s v="Morning"/>
    <s v="Low"/>
  </r>
  <r>
    <n v="281"/>
    <d v="2011-01-13T00:00:00"/>
    <x v="0"/>
    <n v="0"/>
    <x v="0"/>
    <x v="3"/>
    <b v="0"/>
    <n v="4"/>
    <x v="0"/>
    <n v="0.14000000000000001"/>
    <n v="0.1212"/>
    <n v="0.5"/>
    <n v="0.32840000000000003"/>
    <x v="3"/>
    <n v="3"/>
    <n v="3"/>
    <s v="Weekday"/>
    <s v="Morning"/>
    <s v="Low"/>
  </r>
  <r>
    <n v="282"/>
    <d v="2011-01-13T00:00:00"/>
    <x v="0"/>
    <n v="0"/>
    <x v="0"/>
    <x v="4"/>
    <b v="0"/>
    <n v="4"/>
    <x v="0"/>
    <n v="0.14000000000000001"/>
    <n v="0.1212"/>
    <n v="0.5"/>
    <n v="0.25369999999999998"/>
    <x v="3"/>
    <n v="4"/>
    <n v="4"/>
    <s v="Weekday"/>
    <s v="Morning"/>
    <s v="Low"/>
  </r>
  <r>
    <n v="283"/>
    <d v="2011-01-13T00:00:00"/>
    <x v="0"/>
    <n v="0"/>
    <x v="0"/>
    <x v="5"/>
    <b v="0"/>
    <n v="4"/>
    <x v="0"/>
    <n v="0.14000000000000001"/>
    <n v="0.1212"/>
    <n v="0.5"/>
    <n v="0.29849999999999999"/>
    <x v="3"/>
    <n v="3"/>
    <n v="3"/>
    <s v="Weekday"/>
    <s v="Morning"/>
    <s v="Low"/>
  </r>
  <r>
    <n v="284"/>
    <d v="2011-01-13T00:00:00"/>
    <x v="0"/>
    <n v="0"/>
    <x v="0"/>
    <x v="6"/>
    <b v="0"/>
    <n v="4"/>
    <x v="0"/>
    <n v="0.12"/>
    <n v="0.1515"/>
    <n v="0.54"/>
    <n v="0.1343"/>
    <x v="3"/>
    <n v="28"/>
    <n v="28"/>
    <s v="Weekday"/>
    <s v="Morning"/>
    <s v="Low"/>
  </r>
  <r>
    <n v="285"/>
    <d v="2011-01-13T00:00:00"/>
    <x v="0"/>
    <n v="0"/>
    <x v="0"/>
    <x v="7"/>
    <b v="0"/>
    <n v="4"/>
    <x v="0"/>
    <n v="0.12"/>
    <n v="0.1515"/>
    <n v="0.54"/>
    <n v="0.1343"/>
    <x v="3"/>
    <n v="72"/>
    <n v="72"/>
    <s v="Weekday"/>
    <s v="Morning"/>
    <s v="Low"/>
  </r>
  <r>
    <n v="286"/>
    <d v="2011-01-13T00:00:00"/>
    <x v="0"/>
    <n v="0"/>
    <x v="0"/>
    <x v="8"/>
    <b v="0"/>
    <n v="4"/>
    <x v="0"/>
    <n v="0.14000000000000001"/>
    <n v="0.13639999999999999"/>
    <n v="0.5"/>
    <n v="0.19400000000000001"/>
    <x v="2"/>
    <n v="197"/>
    <n v="202"/>
    <s v="Weekday"/>
    <s v="Morning"/>
    <s v="High"/>
  </r>
  <r>
    <n v="287"/>
    <d v="2011-01-13T00:00:00"/>
    <x v="0"/>
    <n v="0"/>
    <x v="0"/>
    <x v="9"/>
    <b v="0"/>
    <n v="4"/>
    <x v="0"/>
    <n v="0.14000000000000001"/>
    <n v="0.1212"/>
    <n v="0.5"/>
    <n v="0.32840000000000003"/>
    <x v="4"/>
    <n v="137"/>
    <n v="139"/>
    <s v="Weekday"/>
    <s v="Morning"/>
    <s v="High"/>
  </r>
  <r>
    <n v="288"/>
    <d v="2011-01-13T00:00:00"/>
    <x v="0"/>
    <n v="0"/>
    <x v="0"/>
    <x v="10"/>
    <b v="0"/>
    <n v="4"/>
    <x v="1"/>
    <n v="0.16"/>
    <n v="0.13639999999999999"/>
    <n v="0.5"/>
    <n v="0.35820000000000002"/>
    <x v="4"/>
    <n v="36"/>
    <n v="38"/>
    <s v="Weekday"/>
    <s v="Morning"/>
    <s v="Low"/>
  </r>
  <r>
    <n v="289"/>
    <d v="2011-01-13T00:00:00"/>
    <x v="0"/>
    <n v="0"/>
    <x v="0"/>
    <x v="11"/>
    <b v="0"/>
    <n v="4"/>
    <x v="1"/>
    <n v="0.2"/>
    <n v="0.16669999999999999"/>
    <n v="0.44"/>
    <n v="0.44779999999999998"/>
    <x v="17"/>
    <n v="33"/>
    <n v="37"/>
    <s v="Weekday"/>
    <s v="Morning"/>
    <s v="Low"/>
  </r>
  <r>
    <n v="290"/>
    <d v="2011-01-13T00:00:00"/>
    <x v="0"/>
    <n v="0"/>
    <x v="0"/>
    <x v="12"/>
    <b v="0"/>
    <n v="4"/>
    <x v="0"/>
    <n v="0.2"/>
    <n v="0.16669999999999999"/>
    <n v="0.44"/>
    <n v="0.41789999999999999"/>
    <x v="0"/>
    <n v="49"/>
    <n v="52"/>
    <s v="Weekday"/>
    <s v="Afternoon"/>
    <s v="Low"/>
  </r>
  <r>
    <n v="291"/>
    <d v="2011-01-13T00:00:00"/>
    <x v="0"/>
    <n v="0"/>
    <x v="0"/>
    <x v="13"/>
    <b v="0"/>
    <n v="4"/>
    <x v="0"/>
    <n v="0.22"/>
    <n v="0.19700000000000001"/>
    <n v="0.41"/>
    <n v="0.44779999999999998"/>
    <x v="4"/>
    <n v="81"/>
    <n v="83"/>
    <s v="Weekday"/>
    <s v="Afternoon"/>
    <s v="Low"/>
  </r>
  <r>
    <n v="292"/>
    <d v="2011-01-13T00:00:00"/>
    <x v="0"/>
    <n v="0"/>
    <x v="0"/>
    <x v="14"/>
    <b v="0"/>
    <n v="4"/>
    <x v="0"/>
    <n v="0.22"/>
    <n v="0.19700000000000001"/>
    <n v="0.41"/>
    <n v="0.3881"/>
    <x v="0"/>
    <n v="39"/>
    <n v="42"/>
    <s v="Weekday"/>
    <s v="Afternoon"/>
    <s v="Low"/>
  </r>
  <r>
    <n v="293"/>
    <d v="2011-01-13T00:00:00"/>
    <x v="0"/>
    <n v="0"/>
    <x v="0"/>
    <x v="15"/>
    <b v="0"/>
    <n v="4"/>
    <x v="0"/>
    <n v="0.24"/>
    <n v="0.21210000000000001"/>
    <n v="0.38"/>
    <n v="0.29849999999999999"/>
    <x v="2"/>
    <n v="55"/>
    <n v="60"/>
    <s v="Weekday"/>
    <s v="Afternoon"/>
    <s v="Low"/>
  </r>
  <r>
    <n v="294"/>
    <d v="2011-01-13T00:00:00"/>
    <x v="0"/>
    <n v="0"/>
    <x v="0"/>
    <x v="16"/>
    <b v="0"/>
    <n v="4"/>
    <x v="0"/>
    <n v="0.24"/>
    <n v="0.21210000000000001"/>
    <n v="0.38"/>
    <n v="0.35820000000000002"/>
    <x v="4"/>
    <n v="76"/>
    <n v="78"/>
    <s v="Weekday"/>
    <s v="Afternoon"/>
    <s v="Low"/>
  </r>
  <r>
    <n v="295"/>
    <d v="2011-01-13T00:00:00"/>
    <x v="0"/>
    <n v="0"/>
    <x v="0"/>
    <x v="17"/>
    <b v="0"/>
    <n v="4"/>
    <x v="0"/>
    <n v="0.2"/>
    <n v="0.18179999999999999"/>
    <n v="0.4"/>
    <n v="0.28360000000000002"/>
    <x v="17"/>
    <n v="158"/>
    <n v="162"/>
    <s v="Weekday"/>
    <s v="Afternoon"/>
    <s v="High"/>
  </r>
  <r>
    <n v="296"/>
    <d v="2011-01-13T00:00:00"/>
    <x v="0"/>
    <n v="0"/>
    <x v="0"/>
    <x v="18"/>
    <b v="0"/>
    <n v="4"/>
    <x v="0"/>
    <n v="0.2"/>
    <n v="0.18179999999999999"/>
    <n v="0.4"/>
    <n v="0.32840000000000003"/>
    <x v="0"/>
    <n v="141"/>
    <n v="144"/>
    <s v="Weekday"/>
    <s v="Evening"/>
    <s v="High"/>
  </r>
  <r>
    <n v="297"/>
    <d v="2011-01-13T00:00:00"/>
    <x v="0"/>
    <n v="0"/>
    <x v="0"/>
    <x v="19"/>
    <b v="0"/>
    <n v="4"/>
    <x v="0"/>
    <n v="0.16"/>
    <n v="0.1515"/>
    <n v="0.47"/>
    <n v="0.25369999999999998"/>
    <x v="5"/>
    <n v="98"/>
    <n v="99"/>
    <s v="Weekday"/>
    <s v="Evening"/>
    <s v="Low"/>
  </r>
  <r>
    <n v="298"/>
    <d v="2011-01-13T00:00:00"/>
    <x v="0"/>
    <n v="0"/>
    <x v="0"/>
    <x v="20"/>
    <b v="0"/>
    <n v="4"/>
    <x v="0"/>
    <n v="0.16"/>
    <n v="0.1515"/>
    <n v="0.47"/>
    <n v="0.22389999999999999"/>
    <x v="3"/>
    <n v="64"/>
    <n v="64"/>
    <s v="Weekday"/>
    <s v="Evening"/>
    <s v="Low"/>
  </r>
  <r>
    <n v="299"/>
    <d v="2011-01-13T00:00:00"/>
    <x v="0"/>
    <n v="0"/>
    <x v="0"/>
    <x v="21"/>
    <b v="0"/>
    <n v="4"/>
    <x v="0"/>
    <n v="0.14000000000000001"/>
    <n v="0.1212"/>
    <n v="0.46"/>
    <n v="0.29849999999999999"/>
    <x v="3"/>
    <n v="40"/>
    <n v="40"/>
    <s v="Weekday"/>
    <s v="Evening"/>
    <s v="Low"/>
  </r>
  <r>
    <n v="300"/>
    <d v="2011-01-13T00:00:00"/>
    <x v="0"/>
    <n v="0"/>
    <x v="0"/>
    <x v="22"/>
    <b v="0"/>
    <n v="4"/>
    <x v="0"/>
    <n v="0.14000000000000001"/>
    <n v="0.1212"/>
    <n v="0.46"/>
    <n v="0.32840000000000003"/>
    <x v="3"/>
    <n v="30"/>
    <n v="30"/>
    <s v="Weekday"/>
    <s v="Evening"/>
    <s v="Low"/>
  </r>
  <r>
    <n v="301"/>
    <d v="2011-01-13T00:00:00"/>
    <x v="0"/>
    <n v="0"/>
    <x v="0"/>
    <x v="23"/>
    <b v="0"/>
    <n v="4"/>
    <x v="0"/>
    <n v="0.12"/>
    <n v="0.13639999999999999"/>
    <n v="0.5"/>
    <n v="0.19400000000000001"/>
    <x v="5"/>
    <n v="14"/>
    <n v="15"/>
    <s v="Weekday"/>
    <s v="Evening"/>
    <s v="Low"/>
  </r>
  <r>
    <n v="302"/>
    <d v="2011-01-14T00:00:00"/>
    <x v="0"/>
    <n v="0"/>
    <x v="0"/>
    <x v="0"/>
    <b v="0"/>
    <n v="5"/>
    <x v="0"/>
    <n v="0.12"/>
    <n v="0.13639999999999999"/>
    <n v="0.5"/>
    <n v="0.19400000000000001"/>
    <x v="3"/>
    <n v="14"/>
    <n v="14"/>
    <s v="Weekday"/>
    <s v="Morning"/>
    <s v="Low"/>
  </r>
  <r>
    <n v="303"/>
    <d v="2011-01-14T00:00:00"/>
    <x v="0"/>
    <n v="0"/>
    <x v="0"/>
    <x v="1"/>
    <b v="0"/>
    <n v="5"/>
    <x v="0"/>
    <n v="0.1"/>
    <n v="0.1212"/>
    <n v="0.54"/>
    <n v="0.16420000000000001"/>
    <x v="3"/>
    <n v="5"/>
    <n v="5"/>
    <s v="Weekday"/>
    <s v="Morning"/>
    <s v="Low"/>
  </r>
  <r>
    <n v="304"/>
    <d v="2011-01-14T00:00:00"/>
    <x v="0"/>
    <n v="0"/>
    <x v="0"/>
    <x v="2"/>
    <b v="0"/>
    <n v="5"/>
    <x v="0"/>
    <n v="0.1"/>
    <n v="0.1212"/>
    <n v="0.54"/>
    <n v="0.1343"/>
    <x v="3"/>
    <n v="1"/>
    <n v="1"/>
    <s v="Weekday"/>
    <s v="Morning"/>
    <s v="Low"/>
  </r>
  <r>
    <n v="305"/>
    <d v="2011-01-14T00:00:00"/>
    <x v="0"/>
    <n v="0"/>
    <x v="0"/>
    <x v="3"/>
    <b v="0"/>
    <n v="5"/>
    <x v="0"/>
    <n v="0.1"/>
    <n v="0.13639999999999999"/>
    <n v="0.54"/>
    <n v="0.1045"/>
    <x v="3"/>
    <n v="1"/>
    <n v="1"/>
    <s v="Weekday"/>
    <s v="Morning"/>
    <s v="Low"/>
  </r>
  <r>
    <n v="306"/>
    <d v="2011-01-14T00:00:00"/>
    <x v="0"/>
    <n v="0"/>
    <x v="0"/>
    <x v="5"/>
    <b v="0"/>
    <n v="5"/>
    <x v="0"/>
    <n v="0.1"/>
    <n v="0.13639999999999999"/>
    <n v="0.54"/>
    <n v="8.9599999999999999E-2"/>
    <x v="3"/>
    <n v="8"/>
    <n v="8"/>
    <s v="Weekday"/>
    <s v="Morning"/>
    <s v="Low"/>
  </r>
  <r>
    <n v="307"/>
    <d v="2011-01-14T00:00:00"/>
    <x v="0"/>
    <n v="0"/>
    <x v="0"/>
    <x v="6"/>
    <b v="0"/>
    <n v="5"/>
    <x v="0"/>
    <n v="0.1"/>
    <n v="0.18179999999999999"/>
    <n v="0.54"/>
    <n v="0"/>
    <x v="3"/>
    <n v="17"/>
    <n v="17"/>
    <s v="Weekday"/>
    <s v="Morning"/>
    <s v="Low"/>
  </r>
  <r>
    <n v="308"/>
    <d v="2011-01-14T00:00:00"/>
    <x v="0"/>
    <n v="0"/>
    <x v="0"/>
    <x v="7"/>
    <b v="0"/>
    <n v="5"/>
    <x v="0"/>
    <n v="0.1"/>
    <n v="0.1212"/>
    <n v="0.74"/>
    <n v="0.16420000000000001"/>
    <x v="3"/>
    <n v="70"/>
    <n v="70"/>
    <s v="Weekday"/>
    <s v="Morning"/>
    <s v="Low"/>
  </r>
  <r>
    <n v="309"/>
    <d v="2011-01-14T00:00:00"/>
    <x v="0"/>
    <n v="0"/>
    <x v="0"/>
    <x v="8"/>
    <b v="0"/>
    <n v="5"/>
    <x v="0"/>
    <n v="0.12"/>
    <n v="0.16669999999999999"/>
    <n v="0.68"/>
    <n v="0"/>
    <x v="4"/>
    <n v="156"/>
    <n v="158"/>
    <s v="Weekday"/>
    <s v="Morning"/>
    <s v="High"/>
  </r>
  <r>
    <n v="310"/>
    <d v="2011-01-14T00:00:00"/>
    <x v="0"/>
    <n v="0"/>
    <x v="0"/>
    <x v="9"/>
    <b v="0"/>
    <n v="5"/>
    <x v="0"/>
    <n v="0.14000000000000001"/>
    <n v="0.1515"/>
    <n v="0.69"/>
    <n v="0.1343"/>
    <x v="3"/>
    <n v="117"/>
    <n v="117"/>
    <s v="Weekday"/>
    <s v="Morning"/>
    <s v="High"/>
  </r>
  <r>
    <n v="311"/>
    <d v="2011-01-14T00:00:00"/>
    <x v="0"/>
    <n v="0"/>
    <x v="0"/>
    <x v="10"/>
    <b v="0"/>
    <n v="5"/>
    <x v="0"/>
    <n v="0.18"/>
    <n v="0.18179999999999999"/>
    <n v="0.55000000000000004"/>
    <n v="0.19400000000000001"/>
    <x v="17"/>
    <n v="40"/>
    <n v="44"/>
    <s v="Weekday"/>
    <s v="Morning"/>
    <s v="Low"/>
  </r>
  <r>
    <n v="312"/>
    <d v="2011-01-14T00:00:00"/>
    <x v="0"/>
    <n v="0"/>
    <x v="0"/>
    <x v="11"/>
    <b v="0"/>
    <n v="5"/>
    <x v="0"/>
    <n v="0.18"/>
    <n v="0.16669999999999999"/>
    <n v="0.51"/>
    <n v="0.28360000000000002"/>
    <x v="15"/>
    <n v="47"/>
    <n v="53"/>
    <s v="Weekday"/>
    <s v="Morning"/>
    <s v="Low"/>
  </r>
  <r>
    <n v="313"/>
    <d v="2011-01-14T00:00:00"/>
    <x v="0"/>
    <n v="0"/>
    <x v="0"/>
    <x v="12"/>
    <b v="0"/>
    <n v="5"/>
    <x v="0"/>
    <n v="0.2"/>
    <n v="0.19700000000000001"/>
    <n v="0.44"/>
    <n v="0.25369999999999998"/>
    <x v="4"/>
    <n v="59"/>
    <n v="61"/>
    <s v="Weekday"/>
    <s v="Afternoon"/>
    <s v="Low"/>
  </r>
  <r>
    <n v="314"/>
    <d v="2011-01-14T00:00:00"/>
    <x v="0"/>
    <n v="0"/>
    <x v="0"/>
    <x v="13"/>
    <b v="0"/>
    <n v="5"/>
    <x v="0"/>
    <n v="0.22"/>
    <n v="0.19700000000000001"/>
    <n v="0.37"/>
    <n v="0.3881"/>
    <x v="17"/>
    <n v="73"/>
    <n v="77"/>
    <s v="Weekday"/>
    <s v="Afternoon"/>
    <s v="Low"/>
  </r>
  <r>
    <n v="315"/>
    <d v="2011-01-14T00:00:00"/>
    <x v="0"/>
    <n v="0"/>
    <x v="0"/>
    <x v="14"/>
    <b v="0"/>
    <n v="5"/>
    <x v="0"/>
    <n v="0.22"/>
    <n v="0.21210000000000001"/>
    <n v="0.41"/>
    <n v="0.28360000000000002"/>
    <x v="2"/>
    <n v="59"/>
    <n v="64"/>
    <s v="Weekday"/>
    <s v="Afternoon"/>
    <s v="Low"/>
  </r>
  <r>
    <n v="316"/>
    <d v="2011-01-14T00:00:00"/>
    <x v="0"/>
    <n v="0"/>
    <x v="0"/>
    <x v="15"/>
    <b v="0"/>
    <n v="5"/>
    <x v="0"/>
    <n v="0.24"/>
    <n v="0.2424"/>
    <n v="0.38"/>
    <n v="0.16420000000000001"/>
    <x v="14"/>
    <n v="59"/>
    <n v="68"/>
    <s v="Weekday"/>
    <s v="Afternoon"/>
    <s v="Low"/>
  </r>
  <r>
    <n v="317"/>
    <d v="2011-01-14T00:00:00"/>
    <x v="0"/>
    <n v="0"/>
    <x v="0"/>
    <x v="16"/>
    <b v="0"/>
    <n v="5"/>
    <x v="0"/>
    <n v="0.22"/>
    <n v="0.2424"/>
    <n v="0.41"/>
    <n v="0.1045"/>
    <x v="0"/>
    <n v="87"/>
    <n v="90"/>
    <s v="Weekday"/>
    <s v="Afternoon"/>
    <s v="Low"/>
  </r>
  <r>
    <n v="318"/>
    <d v="2011-01-14T00:00:00"/>
    <x v="0"/>
    <n v="0"/>
    <x v="0"/>
    <x v="17"/>
    <b v="0"/>
    <n v="5"/>
    <x v="0"/>
    <n v="0.22"/>
    <n v="0.2273"/>
    <n v="0.41"/>
    <n v="0.16420000000000001"/>
    <x v="17"/>
    <n v="155"/>
    <n v="159"/>
    <s v="Weekday"/>
    <s v="Afternoon"/>
    <s v="High"/>
  </r>
  <r>
    <n v="319"/>
    <d v="2011-01-14T00:00:00"/>
    <x v="0"/>
    <n v="0"/>
    <x v="0"/>
    <x v="18"/>
    <b v="0"/>
    <n v="5"/>
    <x v="0"/>
    <n v="0.2"/>
    <n v="0.2576"/>
    <n v="0.47"/>
    <n v="0"/>
    <x v="2"/>
    <n v="134"/>
    <n v="139"/>
    <s v="Weekday"/>
    <s v="Evening"/>
    <s v="High"/>
  </r>
  <r>
    <n v="320"/>
    <d v="2011-01-14T00:00:00"/>
    <x v="0"/>
    <n v="0"/>
    <x v="0"/>
    <x v="19"/>
    <b v="0"/>
    <n v="5"/>
    <x v="0"/>
    <n v="0.16"/>
    <n v="0.19700000000000001"/>
    <n v="0.59"/>
    <n v="8.9599999999999999E-2"/>
    <x v="0"/>
    <n v="89"/>
    <n v="92"/>
    <s v="Weekday"/>
    <s v="Evening"/>
    <s v="Low"/>
  </r>
  <r>
    <n v="321"/>
    <d v="2011-01-14T00:00:00"/>
    <x v="0"/>
    <n v="0"/>
    <x v="0"/>
    <x v="20"/>
    <b v="0"/>
    <n v="5"/>
    <x v="0"/>
    <n v="0.18"/>
    <n v="0.2424"/>
    <n v="0.59"/>
    <n v="0"/>
    <x v="3"/>
    <n v="68"/>
    <n v="68"/>
    <s v="Weekday"/>
    <s v="Evening"/>
    <s v="Low"/>
  </r>
  <r>
    <n v="322"/>
    <d v="2011-01-14T00:00:00"/>
    <x v="0"/>
    <n v="0"/>
    <x v="0"/>
    <x v="21"/>
    <b v="0"/>
    <n v="5"/>
    <x v="0"/>
    <n v="0.16"/>
    <n v="0.2273"/>
    <n v="0.69"/>
    <n v="0"/>
    <x v="17"/>
    <n v="48"/>
    <n v="52"/>
    <s v="Weekday"/>
    <s v="Evening"/>
    <s v="Low"/>
  </r>
  <r>
    <n v="323"/>
    <d v="2011-01-14T00:00:00"/>
    <x v="0"/>
    <n v="0"/>
    <x v="0"/>
    <x v="22"/>
    <b v="0"/>
    <n v="5"/>
    <x v="1"/>
    <n v="0.16"/>
    <n v="0.2273"/>
    <n v="0.69"/>
    <n v="0"/>
    <x v="4"/>
    <n v="34"/>
    <n v="36"/>
    <s v="Weekday"/>
    <s v="Evening"/>
    <s v="Low"/>
  </r>
  <r>
    <n v="324"/>
    <d v="2011-01-14T00:00:00"/>
    <x v="0"/>
    <n v="0"/>
    <x v="0"/>
    <x v="23"/>
    <b v="0"/>
    <n v="5"/>
    <x v="1"/>
    <n v="0.18"/>
    <n v="0.2424"/>
    <n v="0.55000000000000004"/>
    <n v="0"/>
    <x v="5"/>
    <n v="26"/>
    <n v="27"/>
    <s v="Weekday"/>
    <s v="Evening"/>
    <s v="Low"/>
  </r>
  <r>
    <n v="325"/>
    <d v="2011-01-15T00:00:00"/>
    <x v="0"/>
    <n v="0"/>
    <x v="0"/>
    <x v="0"/>
    <b v="0"/>
    <n v="6"/>
    <x v="0"/>
    <n v="0.18"/>
    <n v="0.2424"/>
    <n v="0.55000000000000004"/>
    <n v="0"/>
    <x v="0"/>
    <n v="25"/>
    <n v="28"/>
    <s v="Weekend"/>
    <s v="Morning"/>
    <s v="Low"/>
  </r>
  <r>
    <n v="326"/>
    <d v="2011-01-15T00:00:00"/>
    <x v="0"/>
    <n v="0"/>
    <x v="0"/>
    <x v="1"/>
    <b v="0"/>
    <n v="6"/>
    <x v="1"/>
    <n v="0.16"/>
    <n v="0.19700000000000001"/>
    <n v="0.59"/>
    <n v="8.9599999999999999E-2"/>
    <x v="4"/>
    <n v="18"/>
    <n v="20"/>
    <s v="Weekend"/>
    <s v="Morning"/>
    <s v="Low"/>
  </r>
  <r>
    <n v="327"/>
    <d v="2011-01-15T00:00:00"/>
    <x v="0"/>
    <n v="0"/>
    <x v="0"/>
    <x v="2"/>
    <b v="0"/>
    <n v="6"/>
    <x v="1"/>
    <n v="0.16"/>
    <n v="0.19700000000000001"/>
    <n v="0.59"/>
    <n v="8.9599999999999999E-2"/>
    <x v="3"/>
    <n v="12"/>
    <n v="12"/>
    <s v="Weekend"/>
    <s v="Morning"/>
    <s v="Low"/>
  </r>
  <r>
    <n v="328"/>
    <d v="2011-01-15T00:00:00"/>
    <x v="0"/>
    <n v="0"/>
    <x v="0"/>
    <x v="3"/>
    <b v="0"/>
    <n v="6"/>
    <x v="1"/>
    <n v="0.16"/>
    <n v="0.2273"/>
    <n v="0.59"/>
    <n v="0"/>
    <x v="5"/>
    <n v="7"/>
    <n v="8"/>
    <s v="Weekend"/>
    <s v="Morning"/>
    <s v="Low"/>
  </r>
  <r>
    <n v="329"/>
    <d v="2011-01-15T00:00:00"/>
    <x v="0"/>
    <n v="0"/>
    <x v="0"/>
    <x v="4"/>
    <b v="0"/>
    <n v="6"/>
    <x v="1"/>
    <n v="0.16"/>
    <n v="0.2273"/>
    <n v="0.59"/>
    <n v="0"/>
    <x v="3"/>
    <n v="5"/>
    <n v="5"/>
    <s v="Weekend"/>
    <s v="Morning"/>
    <s v="Low"/>
  </r>
  <r>
    <n v="330"/>
    <d v="2011-01-15T00:00:00"/>
    <x v="0"/>
    <n v="0"/>
    <x v="0"/>
    <x v="5"/>
    <b v="0"/>
    <n v="6"/>
    <x v="0"/>
    <n v="0.16"/>
    <n v="0.2273"/>
    <n v="0.59"/>
    <n v="0"/>
    <x v="3"/>
    <n v="1"/>
    <n v="1"/>
    <s v="Weekend"/>
    <s v="Morning"/>
    <s v="Low"/>
  </r>
  <r>
    <n v="331"/>
    <d v="2011-01-15T00:00:00"/>
    <x v="0"/>
    <n v="0"/>
    <x v="0"/>
    <x v="6"/>
    <b v="0"/>
    <n v="6"/>
    <x v="0"/>
    <n v="0.14000000000000001"/>
    <n v="0.16669999999999999"/>
    <n v="0.63"/>
    <n v="0.1045"/>
    <x v="5"/>
    <n v="2"/>
    <n v="3"/>
    <s v="Weekend"/>
    <s v="Morning"/>
    <s v="Low"/>
  </r>
  <r>
    <n v="332"/>
    <d v="2011-01-15T00:00:00"/>
    <x v="0"/>
    <n v="0"/>
    <x v="0"/>
    <x v="7"/>
    <b v="0"/>
    <n v="6"/>
    <x v="0"/>
    <n v="0.14000000000000001"/>
    <n v="0.21210000000000001"/>
    <n v="0.63"/>
    <n v="0"/>
    <x v="5"/>
    <n v="9"/>
    <n v="10"/>
    <s v="Weekend"/>
    <s v="Morning"/>
    <s v="Low"/>
  </r>
  <r>
    <n v="333"/>
    <d v="2011-01-15T00:00:00"/>
    <x v="0"/>
    <n v="0"/>
    <x v="0"/>
    <x v="8"/>
    <b v="0"/>
    <n v="6"/>
    <x v="0"/>
    <n v="0.14000000000000001"/>
    <n v="0.1515"/>
    <n v="0.63"/>
    <n v="0.1343"/>
    <x v="5"/>
    <n v="22"/>
    <n v="23"/>
    <s v="Weekend"/>
    <s v="Morning"/>
    <s v="Low"/>
  </r>
  <r>
    <n v="334"/>
    <d v="2011-01-15T00:00:00"/>
    <x v="0"/>
    <n v="0"/>
    <x v="0"/>
    <x v="9"/>
    <b v="0"/>
    <n v="6"/>
    <x v="0"/>
    <n v="0.16"/>
    <n v="0.18179999999999999"/>
    <n v="0.64"/>
    <n v="0.1343"/>
    <x v="4"/>
    <n v="31"/>
    <n v="33"/>
    <s v="Weekend"/>
    <s v="Morning"/>
    <s v="Low"/>
  </r>
  <r>
    <n v="335"/>
    <d v="2011-01-15T00:00:00"/>
    <x v="0"/>
    <n v="0"/>
    <x v="0"/>
    <x v="10"/>
    <b v="0"/>
    <n v="6"/>
    <x v="0"/>
    <n v="0.18"/>
    <n v="0.19700000000000001"/>
    <n v="0.59"/>
    <n v="0.16420000000000001"/>
    <x v="4"/>
    <n v="57"/>
    <n v="59"/>
    <s v="Weekend"/>
    <s v="Morning"/>
    <s v="Low"/>
  </r>
  <r>
    <n v="336"/>
    <d v="2011-01-15T00:00:00"/>
    <x v="0"/>
    <n v="0"/>
    <x v="0"/>
    <x v="11"/>
    <b v="0"/>
    <n v="6"/>
    <x v="0"/>
    <n v="0.2"/>
    <n v="0.19700000000000001"/>
    <n v="0.55000000000000004"/>
    <n v="0.22389999999999999"/>
    <x v="25"/>
    <n v="54"/>
    <n v="72"/>
    <s v="Weekend"/>
    <s v="Morning"/>
    <s v="Low"/>
  </r>
  <r>
    <n v="337"/>
    <d v="2011-01-15T00:00:00"/>
    <x v="0"/>
    <n v="0"/>
    <x v="0"/>
    <x v="12"/>
    <b v="0"/>
    <n v="6"/>
    <x v="0"/>
    <n v="0.24"/>
    <n v="0.2273"/>
    <n v="0.48"/>
    <n v="0.22389999999999999"/>
    <x v="13"/>
    <n v="74"/>
    <n v="89"/>
    <s v="Weekend"/>
    <s v="Afternoon"/>
    <s v="Low"/>
  </r>
  <r>
    <n v="338"/>
    <d v="2011-01-15T00:00:00"/>
    <x v="0"/>
    <n v="0"/>
    <x v="0"/>
    <x v="13"/>
    <b v="0"/>
    <n v="6"/>
    <x v="0"/>
    <n v="0.28000000000000003"/>
    <n v="0.2576"/>
    <n v="0.38"/>
    <n v="0.29849999999999999"/>
    <x v="27"/>
    <n v="80"/>
    <n v="101"/>
    <s v="Weekend"/>
    <s v="Afternoon"/>
    <s v="High"/>
  </r>
  <r>
    <n v="339"/>
    <d v="2011-01-15T00:00:00"/>
    <x v="0"/>
    <n v="0"/>
    <x v="0"/>
    <x v="14"/>
    <b v="0"/>
    <n v="6"/>
    <x v="0"/>
    <n v="0.3"/>
    <n v="0.28789999999999999"/>
    <n v="0.39"/>
    <n v="0.28360000000000002"/>
    <x v="7"/>
    <n v="92"/>
    <n v="118"/>
    <s v="Weekend"/>
    <s v="Afternoon"/>
    <s v="High"/>
  </r>
  <r>
    <n v="340"/>
    <d v="2011-01-15T00:00:00"/>
    <x v="0"/>
    <n v="0"/>
    <x v="0"/>
    <x v="15"/>
    <b v="0"/>
    <n v="6"/>
    <x v="1"/>
    <n v="0.32"/>
    <n v="0.31819999999999998"/>
    <n v="0.36"/>
    <n v="0.19400000000000001"/>
    <x v="27"/>
    <n v="108"/>
    <n v="129"/>
    <s v="Weekend"/>
    <s v="Afternoon"/>
    <s v="High"/>
  </r>
  <r>
    <n v="341"/>
    <d v="2011-01-15T00:00:00"/>
    <x v="0"/>
    <n v="0"/>
    <x v="0"/>
    <x v="16"/>
    <b v="0"/>
    <n v="6"/>
    <x v="1"/>
    <n v="0.34"/>
    <n v="0.33329999999999999"/>
    <n v="0.34"/>
    <n v="0.19400000000000001"/>
    <x v="28"/>
    <n v="95"/>
    <n v="128"/>
    <s v="Weekend"/>
    <s v="Afternoon"/>
    <s v="High"/>
  </r>
  <r>
    <n v="342"/>
    <d v="2011-01-15T00:00:00"/>
    <x v="0"/>
    <n v="0"/>
    <x v="0"/>
    <x v="17"/>
    <b v="0"/>
    <n v="6"/>
    <x v="1"/>
    <n v="0.32"/>
    <n v="0.30299999999999999"/>
    <n v="0.36"/>
    <n v="0.28360000000000002"/>
    <x v="8"/>
    <n v="54"/>
    <n v="83"/>
    <s v="Weekend"/>
    <s v="Afternoon"/>
    <s v="Low"/>
  </r>
  <r>
    <n v="343"/>
    <d v="2011-01-15T00:00:00"/>
    <x v="0"/>
    <n v="0"/>
    <x v="0"/>
    <x v="18"/>
    <b v="0"/>
    <n v="6"/>
    <x v="1"/>
    <n v="0.3"/>
    <n v="0.28789999999999999"/>
    <n v="0.45"/>
    <n v="0.25369999999999998"/>
    <x v="13"/>
    <n v="69"/>
    <n v="84"/>
    <s v="Weekend"/>
    <s v="Evening"/>
    <s v="Low"/>
  </r>
  <r>
    <n v="344"/>
    <d v="2011-01-15T00:00:00"/>
    <x v="0"/>
    <n v="0"/>
    <x v="0"/>
    <x v="19"/>
    <b v="0"/>
    <n v="6"/>
    <x v="1"/>
    <n v="0.32"/>
    <n v="0.30299999999999999"/>
    <n v="0.39"/>
    <n v="0.25369999999999998"/>
    <x v="24"/>
    <n v="60"/>
    <n v="74"/>
    <s v="Weekend"/>
    <s v="Evening"/>
    <s v="Low"/>
  </r>
  <r>
    <n v="345"/>
    <d v="2011-01-15T00:00:00"/>
    <x v="0"/>
    <n v="0"/>
    <x v="0"/>
    <x v="20"/>
    <b v="0"/>
    <n v="6"/>
    <x v="1"/>
    <n v="0.32"/>
    <n v="0.30299999999999999"/>
    <n v="0.39"/>
    <n v="0.25369999999999998"/>
    <x v="15"/>
    <n v="35"/>
    <n v="41"/>
    <s v="Weekend"/>
    <s v="Evening"/>
    <s v="Low"/>
  </r>
  <r>
    <n v="346"/>
    <d v="2011-01-15T00:00:00"/>
    <x v="0"/>
    <n v="0"/>
    <x v="0"/>
    <x v="21"/>
    <b v="0"/>
    <n v="6"/>
    <x v="1"/>
    <n v="0.32"/>
    <n v="0.30299999999999999"/>
    <n v="0.39"/>
    <n v="0.22389999999999999"/>
    <x v="15"/>
    <n v="51"/>
    <n v="57"/>
    <s v="Weekend"/>
    <s v="Evening"/>
    <s v="Low"/>
  </r>
  <r>
    <n v="347"/>
    <d v="2011-01-15T00:00:00"/>
    <x v="0"/>
    <n v="0"/>
    <x v="0"/>
    <x v="22"/>
    <b v="0"/>
    <n v="6"/>
    <x v="1"/>
    <n v="0.3"/>
    <n v="0.31819999999999998"/>
    <n v="0.42"/>
    <n v="0.1045"/>
    <x v="3"/>
    <n v="26"/>
    <n v="26"/>
    <s v="Weekend"/>
    <s v="Evening"/>
    <s v="Low"/>
  </r>
  <r>
    <n v="348"/>
    <d v="2011-01-15T00:00:00"/>
    <x v="0"/>
    <n v="0"/>
    <x v="0"/>
    <x v="23"/>
    <b v="0"/>
    <n v="6"/>
    <x v="0"/>
    <n v="0.3"/>
    <n v="0.28789999999999999"/>
    <n v="0.45"/>
    <n v="0.28360000000000002"/>
    <x v="2"/>
    <n v="39"/>
    <n v="44"/>
    <s v="Weekend"/>
    <s v="Evening"/>
    <s v="Low"/>
  </r>
  <r>
    <n v="349"/>
    <d v="2011-01-16T00:00:00"/>
    <x v="0"/>
    <n v="0"/>
    <x v="0"/>
    <x v="0"/>
    <b v="0"/>
    <n v="0"/>
    <x v="0"/>
    <n v="0.26"/>
    <n v="0.30299999999999999"/>
    <n v="0.56000000000000005"/>
    <n v="0"/>
    <x v="15"/>
    <n v="33"/>
    <n v="39"/>
    <s v="Weekend"/>
    <s v="Morning"/>
    <s v="Low"/>
  </r>
  <r>
    <n v="350"/>
    <d v="2011-01-16T00:00:00"/>
    <x v="0"/>
    <n v="0"/>
    <x v="0"/>
    <x v="1"/>
    <b v="0"/>
    <n v="0"/>
    <x v="0"/>
    <n v="0.26"/>
    <n v="0.2727"/>
    <n v="0.56000000000000005"/>
    <n v="0.1343"/>
    <x v="17"/>
    <n v="19"/>
    <n v="23"/>
    <s v="Weekend"/>
    <s v="Morning"/>
    <s v="Low"/>
  </r>
  <r>
    <n v="351"/>
    <d v="2011-01-16T00:00:00"/>
    <x v="0"/>
    <n v="0"/>
    <x v="0"/>
    <x v="2"/>
    <b v="0"/>
    <n v="0"/>
    <x v="0"/>
    <n v="0.26"/>
    <n v="0.28789999999999999"/>
    <n v="0.56000000000000005"/>
    <n v="8.9599999999999999E-2"/>
    <x v="0"/>
    <n v="13"/>
    <n v="16"/>
    <s v="Weekend"/>
    <s v="Morning"/>
    <s v="Low"/>
  </r>
  <r>
    <n v="352"/>
    <d v="2011-01-16T00:00:00"/>
    <x v="0"/>
    <n v="0"/>
    <x v="0"/>
    <x v="3"/>
    <b v="0"/>
    <n v="0"/>
    <x v="0"/>
    <n v="0.22"/>
    <n v="0.2727"/>
    <n v="0.69"/>
    <n v="0"/>
    <x v="14"/>
    <n v="6"/>
    <n v="15"/>
    <s v="Weekend"/>
    <s v="Morning"/>
    <s v="Low"/>
  </r>
  <r>
    <n v="353"/>
    <d v="2011-01-16T00:00:00"/>
    <x v="0"/>
    <n v="0"/>
    <x v="0"/>
    <x v="4"/>
    <b v="0"/>
    <n v="0"/>
    <x v="0"/>
    <n v="0.26"/>
    <n v="0.2576"/>
    <n v="0.56000000000000005"/>
    <n v="0.16420000000000001"/>
    <x v="3"/>
    <n v="1"/>
    <n v="1"/>
    <s v="Weekend"/>
    <s v="Morning"/>
    <s v="Low"/>
  </r>
  <r>
    <n v="354"/>
    <d v="2011-01-16T00:00:00"/>
    <x v="0"/>
    <n v="0"/>
    <x v="0"/>
    <x v="5"/>
    <b v="0"/>
    <n v="0"/>
    <x v="1"/>
    <n v="0.26"/>
    <n v="0.2576"/>
    <n v="0.56000000000000005"/>
    <n v="0.16420000000000001"/>
    <x v="5"/>
    <n v="1"/>
    <n v="2"/>
    <s v="Weekend"/>
    <s v="Morning"/>
    <s v="Low"/>
  </r>
  <r>
    <n v="355"/>
    <d v="2011-01-16T00:00:00"/>
    <x v="0"/>
    <n v="0"/>
    <x v="0"/>
    <x v="6"/>
    <b v="0"/>
    <n v="0"/>
    <x v="1"/>
    <n v="0.26"/>
    <n v="0.2576"/>
    <n v="0.56000000000000005"/>
    <n v="0.16420000000000001"/>
    <x v="3"/>
    <n v="1"/>
    <n v="1"/>
    <s v="Weekend"/>
    <s v="Morning"/>
    <s v="Low"/>
  </r>
  <r>
    <n v="356"/>
    <d v="2011-01-16T00:00:00"/>
    <x v="0"/>
    <n v="0"/>
    <x v="0"/>
    <x v="7"/>
    <b v="0"/>
    <n v="0"/>
    <x v="1"/>
    <n v="0.24"/>
    <n v="0.21210000000000001"/>
    <n v="0.56000000000000005"/>
    <n v="0.29849999999999999"/>
    <x v="3"/>
    <n v="3"/>
    <n v="3"/>
    <s v="Weekend"/>
    <s v="Morning"/>
    <s v="Low"/>
  </r>
  <r>
    <n v="357"/>
    <d v="2011-01-16T00:00:00"/>
    <x v="0"/>
    <n v="0"/>
    <x v="0"/>
    <x v="8"/>
    <b v="0"/>
    <n v="0"/>
    <x v="0"/>
    <n v="0.22"/>
    <n v="0.21210000000000001"/>
    <n v="0.55000000000000004"/>
    <n v="0.28360000000000002"/>
    <x v="3"/>
    <n v="18"/>
    <n v="18"/>
    <s v="Weekend"/>
    <s v="Morning"/>
    <s v="Low"/>
  </r>
  <r>
    <n v="358"/>
    <d v="2011-01-16T00:00:00"/>
    <x v="0"/>
    <n v="0"/>
    <x v="0"/>
    <x v="9"/>
    <b v="0"/>
    <n v="0"/>
    <x v="0"/>
    <n v="0.22"/>
    <n v="0.21210000000000001"/>
    <n v="0.51"/>
    <n v="0.25369999999999998"/>
    <x v="0"/>
    <n v="29"/>
    <n v="32"/>
    <s v="Weekend"/>
    <s v="Morning"/>
    <s v="Low"/>
  </r>
  <r>
    <n v="359"/>
    <d v="2011-01-16T00:00:00"/>
    <x v="0"/>
    <n v="0"/>
    <x v="0"/>
    <x v="10"/>
    <b v="0"/>
    <n v="0"/>
    <x v="0"/>
    <n v="0.22"/>
    <n v="0.21210000000000001"/>
    <n v="0.51"/>
    <n v="0.28360000000000002"/>
    <x v="1"/>
    <n v="71"/>
    <n v="79"/>
    <s v="Weekend"/>
    <s v="Morning"/>
    <s v="Low"/>
  </r>
  <r>
    <n v="360"/>
    <d v="2011-01-16T00:00:00"/>
    <x v="0"/>
    <n v="0"/>
    <x v="0"/>
    <x v="11"/>
    <b v="0"/>
    <n v="0"/>
    <x v="0"/>
    <n v="0.24"/>
    <n v="0.2273"/>
    <n v="0.44"/>
    <n v="0.25369999999999998"/>
    <x v="29"/>
    <n v="70"/>
    <n v="93"/>
    <s v="Weekend"/>
    <s v="Morning"/>
    <s v="Low"/>
  </r>
  <r>
    <n v="361"/>
    <d v="2011-01-16T00:00:00"/>
    <x v="0"/>
    <n v="0"/>
    <x v="0"/>
    <x v="12"/>
    <b v="0"/>
    <n v="0"/>
    <x v="0"/>
    <n v="0.24"/>
    <n v="0.21210000000000001"/>
    <n v="0.41"/>
    <n v="0.28360000000000002"/>
    <x v="8"/>
    <n v="75"/>
    <n v="104"/>
    <s v="Weekend"/>
    <s v="Afternoon"/>
    <s v="High"/>
  </r>
  <r>
    <n v="362"/>
    <d v="2011-01-16T00:00:00"/>
    <x v="0"/>
    <n v="0"/>
    <x v="0"/>
    <x v="13"/>
    <b v="0"/>
    <n v="0"/>
    <x v="0"/>
    <n v="0.26"/>
    <n v="0.2273"/>
    <n v="0.35"/>
    <n v="0.29849999999999999"/>
    <x v="29"/>
    <n v="95"/>
    <n v="118"/>
    <s v="Weekend"/>
    <s v="Afternoon"/>
    <s v="High"/>
  </r>
  <r>
    <n v="363"/>
    <d v="2011-01-16T00:00:00"/>
    <x v="0"/>
    <n v="0"/>
    <x v="0"/>
    <x v="14"/>
    <b v="0"/>
    <n v="0"/>
    <x v="0"/>
    <n v="0.28000000000000003"/>
    <n v="0.2727"/>
    <n v="0.36"/>
    <n v="0.25369999999999998"/>
    <x v="30"/>
    <n v="69"/>
    <n v="91"/>
    <s v="Weekend"/>
    <s v="Afternoon"/>
    <s v="Low"/>
  </r>
  <r>
    <n v="364"/>
    <d v="2011-01-16T00:00:00"/>
    <x v="0"/>
    <n v="0"/>
    <x v="0"/>
    <x v="15"/>
    <b v="0"/>
    <n v="0"/>
    <x v="0"/>
    <n v="0.26"/>
    <n v="0.2424"/>
    <n v="0.38"/>
    <n v="0.25369999999999998"/>
    <x v="10"/>
    <n v="78"/>
    <n v="113"/>
    <s v="Weekend"/>
    <s v="Afternoon"/>
    <s v="High"/>
  </r>
  <r>
    <n v="365"/>
    <d v="2011-01-16T00:00:00"/>
    <x v="0"/>
    <n v="0"/>
    <x v="0"/>
    <x v="16"/>
    <b v="0"/>
    <n v="0"/>
    <x v="0"/>
    <n v="0.24"/>
    <n v="0.2273"/>
    <n v="0.38"/>
    <n v="0.22389999999999999"/>
    <x v="30"/>
    <n v="77"/>
    <n v="99"/>
    <s v="Weekend"/>
    <s v="Afternoon"/>
    <s v="Low"/>
  </r>
  <r>
    <n v="366"/>
    <d v="2011-01-16T00:00:00"/>
    <x v="0"/>
    <n v="0"/>
    <x v="0"/>
    <x v="17"/>
    <b v="0"/>
    <n v="0"/>
    <x v="0"/>
    <n v="0.22"/>
    <n v="0.21210000000000001"/>
    <n v="0.37"/>
    <n v="0.25369999999999998"/>
    <x v="29"/>
    <n v="82"/>
    <n v="105"/>
    <s v="Weekend"/>
    <s v="Afternoon"/>
    <s v="High"/>
  </r>
  <r>
    <n v="367"/>
    <d v="2011-01-16T00:00:00"/>
    <x v="0"/>
    <n v="0"/>
    <x v="0"/>
    <x v="18"/>
    <b v="0"/>
    <n v="0"/>
    <x v="0"/>
    <n v="0.2"/>
    <n v="0.21210000000000001"/>
    <n v="0.4"/>
    <n v="0.16420000000000001"/>
    <x v="16"/>
    <n v="56"/>
    <n v="67"/>
    <s v="Weekend"/>
    <s v="Evening"/>
    <s v="Low"/>
  </r>
  <r>
    <n v="368"/>
    <d v="2011-01-16T00:00:00"/>
    <x v="0"/>
    <n v="0"/>
    <x v="0"/>
    <x v="19"/>
    <b v="0"/>
    <n v="0"/>
    <x v="0"/>
    <n v="0.18"/>
    <n v="0.19700000000000001"/>
    <n v="0.47"/>
    <n v="0.1343"/>
    <x v="24"/>
    <n v="47"/>
    <n v="61"/>
    <s v="Weekend"/>
    <s v="Evening"/>
    <s v="Low"/>
  </r>
  <r>
    <n v="369"/>
    <d v="2011-01-16T00:00:00"/>
    <x v="0"/>
    <n v="0"/>
    <x v="0"/>
    <x v="20"/>
    <b v="0"/>
    <n v="0"/>
    <x v="0"/>
    <n v="0.18"/>
    <n v="0.19700000000000001"/>
    <n v="0.47"/>
    <n v="0.16420000000000001"/>
    <x v="18"/>
    <n v="50"/>
    <n v="57"/>
    <s v="Weekend"/>
    <s v="Evening"/>
    <s v="Low"/>
  </r>
  <r>
    <n v="370"/>
    <d v="2011-01-16T00:00:00"/>
    <x v="0"/>
    <n v="0"/>
    <x v="0"/>
    <x v="21"/>
    <b v="0"/>
    <n v="0"/>
    <x v="0"/>
    <n v="0.18"/>
    <n v="0.19700000000000001"/>
    <n v="0.51"/>
    <n v="0.16420000000000001"/>
    <x v="15"/>
    <n v="22"/>
    <n v="28"/>
    <s v="Weekend"/>
    <s v="Evening"/>
    <s v="Low"/>
  </r>
  <r>
    <n v="371"/>
    <d v="2011-01-16T00:00:00"/>
    <x v="0"/>
    <n v="0"/>
    <x v="0"/>
    <x v="22"/>
    <b v="0"/>
    <n v="0"/>
    <x v="1"/>
    <n v="0.2"/>
    <n v="0.21210000000000001"/>
    <n v="0.49"/>
    <n v="0.1343"/>
    <x v="4"/>
    <n v="19"/>
    <n v="21"/>
    <s v="Weekend"/>
    <s v="Evening"/>
    <s v="Low"/>
  </r>
  <r>
    <n v="372"/>
    <d v="2011-01-16T00:00:00"/>
    <x v="0"/>
    <n v="0"/>
    <x v="0"/>
    <x v="23"/>
    <b v="0"/>
    <n v="0"/>
    <x v="1"/>
    <n v="0.2"/>
    <n v="0.2273"/>
    <n v="0.4"/>
    <n v="0.1045"/>
    <x v="3"/>
    <n v="18"/>
    <n v="18"/>
    <s v="Weekend"/>
    <s v="Evening"/>
    <s v="Low"/>
  </r>
  <r>
    <n v="373"/>
    <d v="2011-01-17T00:00:00"/>
    <x v="0"/>
    <n v="0"/>
    <x v="0"/>
    <x v="0"/>
    <b v="1"/>
    <n v="1"/>
    <x v="1"/>
    <n v="0.2"/>
    <n v="0.19700000000000001"/>
    <n v="0.47"/>
    <n v="0.22389999999999999"/>
    <x v="5"/>
    <n v="16"/>
    <n v="17"/>
    <s v="Weekday"/>
    <s v="Morning"/>
    <s v="Low"/>
  </r>
  <r>
    <n v="374"/>
    <d v="2011-01-17T00:00:00"/>
    <x v="0"/>
    <n v="0"/>
    <x v="0"/>
    <x v="1"/>
    <b v="1"/>
    <n v="1"/>
    <x v="1"/>
    <n v="0.2"/>
    <n v="0.19700000000000001"/>
    <n v="0.44"/>
    <n v="0.19400000000000001"/>
    <x v="5"/>
    <n v="15"/>
    <n v="16"/>
    <s v="Weekday"/>
    <s v="Morning"/>
    <s v="Low"/>
  </r>
  <r>
    <n v="375"/>
    <d v="2011-01-17T00:00:00"/>
    <x v="0"/>
    <n v="0"/>
    <x v="0"/>
    <x v="2"/>
    <b v="1"/>
    <n v="1"/>
    <x v="1"/>
    <n v="0.18"/>
    <n v="0.16669999999999999"/>
    <n v="0.43"/>
    <n v="0.25369999999999998"/>
    <x v="3"/>
    <n v="8"/>
    <n v="8"/>
    <s v="Weekday"/>
    <s v="Morning"/>
    <s v="Low"/>
  </r>
  <r>
    <n v="376"/>
    <d v="2011-01-17T00:00:00"/>
    <x v="0"/>
    <n v="0"/>
    <x v="0"/>
    <x v="3"/>
    <b v="1"/>
    <n v="1"/>
    <x v="1"/>
    <n v="0.18"/>
    <n v="0.18179999999999999"/>
    <n v="0.43"/>
    <n v="0.19400000000000001"/>
    <x v="3"/>
    <n v="2"/>
    <n v="2"/>
    <s v="Weekday"/>
    <s v="Morning"/>
    <s v="Low"/>
  </r>
  <r>
    <n v="377"/>
    <d v="2011-01-17T00:00:00"/>
    <x v="0"/>
    <n v="0"/>
    <x v="0"/>
    <x v="4"/>
    <b v="1"/>
    <n v="1"/>
    <x v="1"/>
    <n v="0.18"/>
    <n v="0.19700000000000001"/>
    <n v="0.43"/>
    <n v="0.1343"/>
    <x v="5"/>
    <n v="2"/>
    <n v="3"/>
    <s v="Weekday"/>
    <s v="Morning"/>
    <s v="Low"/>
  </r>
  <r>
    <n v="378"/>
    <d v="2011-01-17T00:00:00"/>
    <x v="0"/>
    <n v="0"/>
    <x v="0"/>
    <x v="5"/>
    <b v="1"/>
    <n v="1"/>
    <x v="1"/>
    <n v="0.18"/>
    <n v="0.19700000000000001"/>
    <n v="0.43"/>
    <n v="0.16420000000000001"/>
    <x v="3"/>
    <n v="1"/>
    <n v="1"/>
    <s v="Weekday"/>
    <s v="Morning"/>
    <s v="Low"/>
  </r>
  <r>
    <n v="379"/>
    <d v="2011-01-17T00:00:00"/>
    <x v="0"/>
    <n v="0"/>
    <x v="0"/>
    <x v="6"/>
    <b v="1"/>
    <n v="1"/>
    <x v="1"/>
    <n v="0.18"/>
    <n v="0.18179999999999999"/>
    <n v="0.43"/>
    <n v="0.19400000000000001"/>
    <x v="3"/>
    <n v="5"/>
    <n v="5"/>
    <s v="Weekday"/>
    <s v="Morning"/>
    <s v="Low"/>
  </r>
  <r>
    <n v="380"/>
    <d v="2011-01-17T00:00:00"/>
    <x v="0"/>
    <n v="0"/>
    <x v="0"/>
    <x v="7"/>
    <b v="1"/>
    <n v="1"/>
    <x v="1"/>
    <n v="0.16"/>
    <n v="0.18179999999999999"/>
    <n v="0.5"/>
    <n v="0.1343"/>
    <x v="17"/>
    <n v="9"/>
    <n v="13"/>
    <s v="Weekday"/>
    <s v="Morning"/>
    <s v="Low"/>
  </r>
  <r>
    <n v="381"/>
    <d v="2011-01-17T00:00:00"/>
    <x v="0"/>
    <n v="0"/>
    <x v="0"/>
    <x v="8"/>
    <b v="1"/>
    <n v="1"/>
    <x v="1"/>
    <n v="0.16"/>
    <n v="0.1515"/>
    <n v="0.47"/>
    <n v="0.22389999999999999"/>
    <x v="0"/>
    <n v="30"/>
    <n v="33"/>
    <s v="Weekday"/>
    <s v="Morning"/>
    <s v="Low"/>
  </r>
  <r>
    <n v="382"/>
    <d v="2011-01-17T00:00:00"/>
    <x v="0"/>
    <n v="0"/>
    <x v="0"/>
    <x v="9"/>
    <b v="1"/>
    <n v="1"/>
    <x v="1"/>
    <n v="0.16"/>
    <n v="0.1515"/>
    <n v="0.47"/>
    <n v="0.22389999999999999"/>
    <x v="1"/>
    <n v="39"/>
    <n v="47"/>
    <s v="Weekday"/>
    <s v="Morning"/>
    <s v="Low"/>
  </r>
  <r>
    <n v="383"/>
    <d v="2011-01-17T00:00:00"/>
    <x v="0"/>
    <n v="0"/>
    <x v="0"/>
    <x v="10"/>
    <b v="1"/>
    <n v="1"/>
    <x v="1"/>
    <n v="0.16"/>
    <n v="0.1515"/>
    <n v="0.5"/>
    <n v="0.25369999999999998"/>
    <x v="18"/>
    <n v="50"/>
    <n v="57"/>
    <s v="Weekday"/>
    <s v="Morning"/>
    <s v="Low"/>
  </r>
  <r>
    <n v="384"/>
    <d v="2011-01-17T00:00:00"/>
    <x v="0"/>
    <n v="0"/>
    <x v="0"/>
    <x v="11"/>
    <b v="1"/>
    <n v="1"/>
    <x v="1"/>
    <n v="0.16"/>
    <n v="0.1515"/>
    <n v="0.55000000000000004"/>
    <n v="0.19400000000000001"/>
    <x v="14"/>
    <n v="55"/>
    <n v="64"/>
    <s v="Weekday"/>
    <s v="Morning"/>
    <s v="Low"/>
  </r>
  <r>
    <n v="385"/>
    <d v="2011-01-17T00:00:00"/>
    <x v="0"/>
    <n v="0"/>
    <x v="0"/>
    <x v="12"/>
    <b v="1"/>
    <n v="1"/>
    <x v="1"/>
    <n v="0.18"/>
    <n v="0.19700000000000001"/>
    <n v="0.47"/>
    <n v="0.1343"/>
    <x v="22"/>
    <n v="70"/>
    <n v="80"/>
    <s v="Weekday"/>
    <s v="Afternoon"/>
    <s v="Low"/>
  </r>
  <r>
    <n v="386"/>
    <d v="2011-01-17T00:00:00"/>
    <x v="0"/>
    <n v="0"/>
    <x v="0"/>
    <x v="13"/>
    <b v="1"/>
    <n v="1"/>
    <x v="1"/>
    <n v="0.18"/>
    <n v="0.19700000000000001"/>
    <n v="0.47"/>
    <n v="0.1343"/>
    <x v="23"/>
    <n v="80"/>
    <n v="93"/>
    <s v="Weekday"/>
    <s v="Afternoon"/>
    <s v="Low"/>
  </r>
  <r>
    <n v="387"/>
    <d v="2011-01-17T00:00:00"/>
    <x v="0"/>
    <n v="0"/>
    <x v="0"/>
    <x v="14"/>
    <b v="1"/>
    <n v="1"/>
    <x v="1"/>
    <n v="0.18"/>
    <n v="0.21210000000000001"/>
    <n v="0.43"/>
    <n v="0.1045"/>
    <x v="6"/>
    <n v="74"/>
    <n v="86"/>
    <s v="Weekday"/>
    <s v="Afternoon"/>
    <s v="Low"/>
  </r>
  <r>
    <n v="388"/>
    <d v="2011-01-17T00:00:00"/>
    <x v="0"/>
    <n v="0"/>
    <x v="0"/>
    <x v="15"/>
    <b v="1"/>
    <n v="1"/>
    <x v="1"/>
    <n v="0.2"/>
    <n v="0.21210000000000001"/>
    <n v="0.47"/>
    <n v="0.16420000000000001"/>
    <x v="27"/>
    <n v="72"/>
    <n v="93"/>
    <s v="Weekday"/>
    <s v="Afternoon"/>
    <s v="Low"/>
  </r>
  <r>
    <n v="389"/>
    <d v="2011-01-17T00:00:00"/>
    <x v="0"/>
    <n v="0"/>
    <x v="0"/>
    <x v="16"/>
    <b v="1"/>
    <n v="1"/>
    <x v="1"/>
    <n v="0.2"/>
    <n v="0.21210000000000001"/>
    <n v="0.47"/>
    <n v="0.16420000000000001"/>
    <x v="15"/>
    <n v="76"/>
    <n v="82"/>
    <s v="Weekday"/>
    <s v="Afternoon"/>
    <s v="Low"/>
  </r>
  <r>
    <n v="390"/>
    <d v="2011-01-17T00:00:00"/>
    <x v="0"/>
    <n v="0"/>
    <x v="0"/>
    <x v="17"/>
    <b v="1"/>
    <n v="1"/>
    <x v="0"/>
    <n v="0.2"/>
    <n v="0.19700000000000001"/>
    <n v="0.51"/>
    <n v="0.19400000000000001"/>
    <x v="17"/>
    <n v="67"/>
    <n v="71"/>
    <s v="Weekday"/>
    <s v="Afternoon"/>
    <s v="Low"/>
  </r>
  <r>
    <n v="391"/>
    <d v="2011-01-17T00:00:00"/>
    <x v="0"/>
    <n v="0"/>
    <x v="0"/>
    <x v="18"/>
    <b v="1"/>
    <n v="1"/>
    <x v="1"/>
    <n v="0.18"/>
    <n v="0.16669999999999999"/>
    <n v="0.55000000000000004"/>
    <n v="0.25369999999999998"/>
    <x v="18"/>
    <n v="85"/>
    <n v="92"/>
    <s v="Weekday"/>
    <s v="Evening"/>
    <s v="Low"/>
  </r>
  <r>
    <n v="392"/>
    <d v="2011-01-17T00:00:00"/>
    <x v="0"/>
    <n v="0"/>
    <x v="0"/>
    <x v="19"/>
    <b v="1"/>
    <n v="1"/>
    <x v="2"/>
    <n v="0.18"/>
    <n v="0.18179999999999999"/>
    <n v="0.59"/>
    <n v="0.19400000000000001"/>
    <x v="4"/>
    <n v="58"/>
    <n v="60"/>
    <s v="Weekday"/>
    <s v="Evening"/>
    <s v="Low"/>
  </r>
  <r>
    <n v="393"/>
    <d v="2011-01-17T00:00:00"/>
    <x v="0"/>
    <n v="0"/>
    <x v="0"/>
    <x v="20"/>
    <b v="1"/>
    <n v="1"/>
    <x v="2"/>
    <n v="0.16"/>
    <n v="0.1515"/>
    <n v="0.8"/>
    <n v="0.19400000000000001"/>
    <x v="17"/>
    <n v="29"/>
    <n v="33"/>
    <s v="Weekday"/>
    <s v="Evening"/>
    <s v="Low"/>
  </r>
  <r>
    <n v="394"/>
    <d v="2011-01-17T00:00:00"/>
    <x v="0"/>
    <n v="0"/>
    <x v="0"/>
    <x v="21"/>
    <b v="1"/>
    <n v="1"/>
    <x v="2"/>
    <n v="0.16"/>
    <n v="0.1515"/>
    <n v="0.8"/>
    <n v="0.19400000000000001"/>
    <x v="0"/>
    <n v="24"/>
    <n v="27"/>
    <s v="Weekday"/>
    <s v="Evening"/>
    <s v="Low"/>
  </r>
  <r>
    <n v="395"/>
    <d v="2011-01-17T00:00:00"/>
    <x v="0"/>
    <n v="0"/>
    <x v="0"/>
    <x v="22"/>
    <b v="1"/>
    <n v="1"/>
    <x v="2"/>
    <n v="0.14000000000000001"/>
    <n v="0.1212"/>
    <n v="0.93"/>
    <n v="0.25369999999999998"/>
    <x v="3"/>
    <n v="13"/>
    <n v="13"/>
    <s v="Weekday"/>
    <s v="Evening"/>
    <s v="Low"/>
  </r>
  <r>
    <n v="396"/>
    <d v="2011-01-17T00:00:00"/>
    <x v="0"/>
    <n v="0"/>
    <x v="0"/>
    <x v="23"/>
    <b v="1"/>
    <n v="1"/>
    <x v="2"/>
    <n v="0.16"/>
    <n v="0.13639999999999999"/>
    <n v="0.86"/>
    <n v="0.28360000000000002"/>
    <x v="5"/>
    <n v="3"/>
    <n v="4"/>
    <s v="Weekday"/>
    <s v="Evening"/>
    <s v="Low"/>
  </r>
  <r>
    <n v="397"/>
    <d v="2011-01-18T00:00:00"/>
    <x v="0"/>
    <n v="0"/>
    <x v="0"/>
    <x v="12"/>
    <b v="0"/>
    <n v="2"/>
    <x v="1"/>
    <n v="0.2"/>
    <n v="0.18179999999999999"/>
    <n v="0.86"/>
    <n v="0.32840000000000003"/>
    <x v="3"/>
    <n v="3"/>
    <n v="3"/>
    <s v="Weekday"/>
    <s v="Afternoon"/>
    <s v="Low"/>
  </r>
  <r>
    <n v="398"/>
    <d v="2011-01-18T00:00:00"/>
    <x v="0"/>
    <n v="0"/>
    <x v="0"/>
    <x v="13"/>
    <b v="0"/>
    <n v="2"/>
    <x v="1"/>
    <n v="0.2"/>
    <n v="0.19700000000000001"/>
    <n v="0.86"/>
    <n v="0.22389999999999999"/>
    <x v="3"/>
    <n v="22"/>
    <n v="22"/>
    <s v="Weekday"/>
    <s v="Afternoon"/>
    <s v="Low"/>
  </r>
  <r>
    <n v="399"/>
    <d v="2011-01-18T00:00:00"/>
    <x v="0"/>
    <n v="0"/>
    <x v="0"/>
    <x v="14"/>
    <b v="0"/>
    <n v="2"/>
    <x v="1"/>
    <n v="0.22"/>
    <n v="0.2273"/>
    <n v="0.8"/>
    <n v="0.16420000000000001"/>
    <x v="4"/>
    <n v="26"/>
    <n v="28"/>
    <s v="Weekday"/>
    <s v="Afternoon"/>
    <s v="Low"/>
  </r>
  <r>
    <n v="400"/>
    <d v="2011-01-18T00:00:00"/>
    <x v="0"/>
    <n v="0"/>
    <x v="0"/>
    <x v="15"/>
    <b v="0"/>
    <n v="2"/>
    <x v="1"/>
    <n v="0.22"/>
    <n v="0.2273"/>
    <n v="0.87"/>
    <n v="0.16420000000000001"/>
    <x v="0"/>
    <n v="32"/>
    <n v="35"/>
    <s v="Weekday"/>
    <s v="Afternoon"/>
    <s v="Low"/>
  </r>
  <r>
    <n v="401"/>
    <d v="2011-01-18T00:00:00"/>
    <x v="0"/>
    <n v="0"/>
    <x v="0"/>
    <x v="16"/>
    <b v="0"/>
    <n v="2"/>
    <x v="1"/>
    <n v="0.22"/>
    <n v="0.2273"/>
    <n v="0.87"/>
    <n v="0.19400000000000001"/>
    <x v="3"/>
    <n v="61"/>
    <n v="61"/>
    <s v="Weekday"/>
    <s v="Afternoon"/>
    <s v="Low"/>
  </r>
  <r>
    <n v="402"/>
    <d v="2011-01-18T00:00:00"/>
    <x v="0"/>
    <n v="0"/>
    <x v="0"/>
    <x v="17"/>
    <b v="0"/>
    <n v="2"/>
    <x v="1"/>
    <n v="0.22"/>
    <n v="0.2273"/>
    <n v="0.82"/>
    <n v="0.19400000000000001"/>
    <x v="5"/>
    <n v="124"/>
    <n v="125"/>
    <s v="Weekday"/>
    <s v="Afternoon"/>
    <s v="High"/>
  </r>
  <r>
    <n v="403"/>
    <d v="2011-01-18T00:00:00"/>
    <x v="0"/>
    <n v="0"/>
    <x v="0"/>
    <x v="18"/>
    <b v="0"/>
    <n v="2"/>
    <x v="1"/>
    <n v="0.22"/>
    <n v="0.2273"/>
    <n v="0.8"/>
    <n v="0.16420000000000001"/>
    <x v="5"/>
    <n v="132"/>
    <n v="133"/>
    <s v="Weekday"/>
    <s v="Evening"/>
    <s v="High"/>
  </r>
  <r>
    <n v="404"/>
    <d v="2011-01-18T00:00:00"/>
    <x v="0"/>
    <n v="0"/>
    <x v="0"/>
    <x v="19"/>
    <b v="0"/>
    <n v="2"/>
    <x v="1"/>
    <n v="0.22"/>
    <n v="0.2273"/>
    <n v="0.8"/>
    <n v="0.1343"/>
    <x v="5"/>
    <n v="98"/>
    <n v="99"/>
    <s v="Weekday"/>
    <s v="Evening"/>
    <s v="Low"/>
  </r>
  <r>
    <n v="405"/>
    <d v="2011-01-18T00:00:00"/>
    <x v="0"/>
    <n v="0"/>
    <x v="0"/>
    <x v="20"/>
    <b v="0"/>
    <n v="2"/>
    <x v="1"/>
    <n v="0.22"/>
    <n v="0.2727"/>
    <n v="0.87"/>
    <n v="0"/>
    <x v="3"/>
    <n v="83"/>
    <n v="83"/>
    <s v="Weekday"/>
    <s v="Evening"/>
    <s v="Low"/>
  </r>
  <r>
    <n v="406"/>
    <d v="2011-01-18T00:00:00"/>
    <x v="0"/>
    <n v="0"/>
    <x v="0"/>
    <x v="21"/>
    <b v="0"/>
    <n v="2"/>
    <x v="1"/>
    <n v="0.22"/>
    <n v="0.2424"/>
    <n v="0.93"/>
    <n v="0.1045"/>
    <x v="3"/>
    <n v="41"/>
    <n v="41"/>
    <s v="Weekday"/>
    <s v="Evening"/>
    <s v="Low"/>
  </r>
  <r>
    <n v="407"/>
    <d v="2011-01-18T00:00:00"/>
    <x v="0"/>
    <n v="0"/>
    <x v="0"/>
    <x v="22"/>
    <b v="0"/>
    <n v="2"/>
    <x v="1"/>
    <n v="0.22"/>
    <n v="0.2576"/>
    <n v="0.93"/>
    <n v="8.9599999999999999E-2"/>
    <x v="3"/>
    <n v="33"/>
    <n v="33"/>
    <s v="Weekday"/>
    <s v="Evening"/>
    <s v="Low"/>
  </r>
  <r>
    <n v="408"/>
    <d v="2011-01-18T00:00:00"/>
    <x v="0"/>
    <n v="0"/>
    <x v="0"/>
    <x v="23"/>
    <b v="0"/>
    <n v="2"/>
    <x v="1"/>
    <n v="0.22"/>
    <n v="0.2727"/>
    <n v="0.93"/>
    <n v="0"/>
    <x v="5"/>
    <n v="19"/>
    <n v="20"/>
    <s v="Weekday"/>
    <s v="Evening"/>
    <s v="Low"/>
  </r>
  <r>
    <n v="409"/>
    <d v="2011-01-19T00:00:00"/>
    <x v="0"/>
    <n v="0"/>
    <x v="0"/>
    <x v="0"/>
    <b v="0"/>
    <n v="3"/>
    <x v="1"/>
    <n v="0.22"/>
    <n v="0.2727"/>
    <n v="0.93"/>
    <n v="0"/>
    <x v="3"/>
    <n v="3"/>
    <n v="3"/>
    <s v="Weekday"/>
    <s v="Morning"/>
    <s v="Low"/>
  </r>
  <r>
    <n v="410"/>
    <d v="2011-01-19T00:00:00"/>
    <x v="0"/>
    <n v="0"/>
    <x v="0"/>
    <x v="1"/>
    <b v="0"/>
    <n v="3"/>
    <x v="2"/>
    <n v="0.22"/>
    <n v="0.2273"/>
    <n v="0.93"/>
    <n v="0.1343"/>
    <x v="5"/>
    <n v="6"/>
    <n v="7"/>
    <s v="Weekday"/>
    <s v="Morning"/>
    <s v="Low"/>
  </r>
  <r>
    <n v="411"/>
    <d v="2011-01-19T00:00:00"/>
    <x v="0"/>
    <n v="0"/>
    <x v="0"/>
    <x v="2"/>
    <b v="0"/>
    <n v="3"/>
    <x v="2"/>
    <n v="0.22"/>
    <n v="0.2273"/>
    <n v="0.93"/>
    <n v="0.1343"/>
    <x v="3"/>
    <n v="3"/>
    <n v="3"/>
    <s v="Weekday"/>
    <s v="Morning"/>
    <s v="Low"/>
  </r>
  <r>
    <n v="412"/>
    <d v="2011-01-19T00:00:00"/>
    <x v="0"/>
    <n v="0"/>
    <x v="0"/>
    <x v="4"/>
    <b v="0"/>
    <n v="3"/>
    <x v="2"/>
    <n v="0.22"/>
    <n v="0.2273"/>
    <n v="0.93"/>
    <n v="0.1343"/>
    <x v="5"/>
    <n v="1"/>
    <n v="2"/>
    <s v="Weekday"/>
    <s v="Morning"/>
    <s v="Low"/>
  </r>
  <r>
    <n v="413"/>
    <d v="2011-01-19T00:00:00"/>
    <x v="0"/>
    <n v="0"/>
    <x v="0"/>
    <x v="5"/>
    <b v="0"/>
    <n v="3"/>
    <x v="1"/>
    <n v="0.22"/>
    <n v="0.2576"/>
    <n v="0.93"/>
    <n v="8.9599999999999999E-2"/>
    <x v="3"/>
    <n v="7"/>
    <n v="7"/>
    <s v="Weekday"/>
    <s v="Morning"/>
    <s v="Low"/>
  </r>
  <r>
    <n v="414"/>
    <d v="2011-01-19T00:00:00"/>
    <x v="0"/>
    <n v="0"/>
    <x v="0"/>
    <x v="6"/>
    <b v="0"/>
    <n v="3"/>
    <x v="1"/>
    <n v="0.22"/>
    <n v="0.2576"/>
    <n v="0.93"/>
    <n v="8.9599999999999999E-2"/>
    <x v="3"/>
    <n v="32"/>
    <n v="32"/>
    <s v="Weekday"/>
    <s v="Morning"/>
    <s v="Low"/>
  </r>
  <r>
    <n v="415"/>
    <d v="2011-01-19T00:00:00"/>
    <x v="0"/>
    <n v="0"/>
    <x v="0"/>
    <x v="7"/>
    <b v="0"/>
    <n v="3"/>
    <x v="1"/>
    <n v="0.24"/>
    <n v="0.2576"/>
    <n v="0.92"/>
    <n v="0.1045"/>
    <x v="5"/>
    <n v="89"/>
    <n v="90"/>
    <s v="Weekday"/>
    <s v="Morning"/>
    <s v="Low"/>
  </r>
  <r>
    <n v="416"/>
    <d v="2011-01-19T00:00:00"/>
    <x v="0"/>
    <n v="0"/>
    <x v="0"/>
    <x v="8"/>
    <b v="0"/>
    <n v="3"/>
    <x v="1"/>
    <n v="0.24"/>
    <n v="0.2576"/>
    <n v="0.93"/>
    <n v="0.1045"/>
    <x v="5"/>
    <n v="196"/>
    <n v="197"/>
    <s v="Weekday"/>
    <s v="Morning"/>
    <s v="High"/>
  </r>
  <r>
    <n v="417"/>
    <d v="2011-01-19T00:00:00"/>
    <x v="0"/>
    <n v="0"/>
    <x v="0"/>
    <x v="9"/>
    <b v="0"/>
    <n v="3"/>
    <x v="1"/>
    <n v="0.24"/>
    <n v="0.2576"/>
    <n v="0.93"/>
    <n v="0.1045"/>
    <x v="4"/>
    <n v="107"/>
    <n v="109"/>
    <s v="Weekday"/>
    <s v="Morning"/>
    <s v="High"/>
  </r>
  <r>
    <n v="418"/>
    <d v="2011-01-19T00:00:00"/>
    <x v="0"/>
    <n v="0"/>
    <x v="0"/>
    <x v="10"/>
    <b v="0"/>
    <n v="3"/>
    <x v="1"/>
    <n v="0.26"/>
    <n v="0.2727"/>
    <n v="0.93"/>
    <n v="0.1343"/>
    <x v="5"/>
    <n v="46"/>
    <n v="47"/>
    <s v="Weekday"/>
    <s v="Morning"/>
    <s v="Low"/>
  </r>
  <r>
    <n v="419"/>
    <d v="2011-01-19T00:00:00"/>
    <x v="0"/>
    <n v="0"/>
    <x v="0"/>
    <x v="11"/>
    <b v="0"/>
    <n v="3"/>
    <x v="1"/>
    <n v="0.28000000000000003"/>
    <n v="0.30299999999999999"/>
    <n v="0.87"/>
    <n v="8.9599999999999999E-2"/>
    <x v="2"/>
    <n v="47"/>
    <n v="52"/>
    <s v="Weekday"/>
    <s v="Morning"/>
    <s v="Low"/>
  </r>
  <r>
    <n v="420"/>
    <d v="2011-01-19T00:00:00"/>
    <x v="0"/>
    <n v="0"/>
    <x v="0"/>
    <x v="12"/>
    <b v="0"/>
    <n v="3"/>
    <x v="1"/>
    <n v="0.3"/>
    <n v="0.31819999999999998"/>
    <n v="0.81"/>
    <n v="8.9599999999999999E-2"/>
    <x v="2"/>
    <n v="65"/>
    <n v="70"/>
    <s v="Weekday"/>
    <s v="Afternoon"/>
    <s v="Low"/>
  </r>
  <r>
    <n v="421"/>
    <d v="2011-01-19T00:00:00"/>
    <x v="0"/>
    <n v="0"/>
    <x v="0"/>
    <x v="13"/>
    <b v="0"/>
    <n v="3"/>
    <x v="0"/>
    <n v="0.4"/>
    <n v="0.40910000000000002"/>
    <n v="0.62"/>
    <n v="0.28360000000000002"/>
    <x v="16"/>
    <n v="67"/>
    <n v="78"/>
    <s v="Weekday"/>
    <s v="Afternoon"/>
    <s v="Low"/>
  </r>
  <r>
    <n v="422"/>
    <d v="2011-01-19T00:00:00"/>
    <x v="0"/>
    <n v="0"/>
    <x v="0"/>
    <x v="14"/>
    <b v="0"/>
    <n v="3"/>
    <x v="0"/>
    <n v="0.4"/>
    <n v="0.40910000000000002"/>
    <n v="0.57999999999999996"/>
    <n v="0.25369999999999998"/>
    <x v="18"/>
    <n v="68"/>
    <n v="75"/>
    <s v="Weekday"/>
    <s v="Afternoon"/>
    <s v="Low"/>
  </r>
  <r>
    <n v="423"/>
    <d v="2011-01-19T00:00:00"/>
    <x v="0"/>
    <n v="0"/>
    <x v="0"/>
    <x v="15"/>
    <b v="0"/>
    <n v="3"/>
    <x v="0"/>
    <n v="0.4"/>
    <n v="0.40910000000000002"/>
    <n v="0.54"/>
    <n v="0.28360000000000002"/>
    <x v="17"/>
    <n v="78"/>
    <n v="82"/>
    <s v="Weekday"/>
    <s v="Afternoon"/>
    <s v="Low"/>
  </r>
  <r>
    <n v="424"/>
    <d v="2011-01-19T00:00:00"/>
    <x v="0"/>
    <n v="0"/>
    <x v="0"/>
    <x v="16"/>
    <b v="0"/>
    <n v="3"/>
    <x v="0"/>
    <n v="0.38"/>
    <n v="0.39389999999999997"/>
    <n v="0.57999999999999996"/>
    <n v="0.3881"/>
    <x v="22"/>
    <n v="94"/>
    <n v="104"/>
    <s v="Weekday"/>
    <s v="Afternoon"/>
    <s v="High"/>
  </r>
  <r>
    <n v="425"/>
    <d v="2011-01-19T00:00:00"/>
    <x v="0"/>
    <n v="0"/>
    <x v="0"/>
    <x v="17"/>
    <b v="0"/>
    <n v="3"/>
    <x v="0"/>
    <n v="0.36"/>
    <n v="0.33329999999999999"/>
    <n v="0.56999999999999995"/>
    <n v="0.32840000000000003"/>
    <x v="18"/>
    <n v="190"/>
    <n v="197"/>
    <s v="Weekday"/>
    <s v="Afternoon"/>
    <s v="High"/>
  </r>
  <r>
    <n v="426"/>
    <d v="2011-01-19T00:00:00"/>
    <x v="0"/>
    <n v="0"/>
    <x v="0"/>
    <x v="18"/>
    <b v="0"/>
    <n v="3"/>
    <x v="0"/>
    <n v="0.34"/>
    <n v="0.31819999999999998"/>
    <n v="0.61"/>
    <n v="0.28360000000000002"/>
    <x v="2"/>
    <n v="156"/>
    <n v="161"/>
    <s v="Weekday"/>
    <s v="Evening"/>
    <s v="High"/>
  </r>
  <r>
    <n v="427"/>
    <d v="2011-01-19T00:00:00"/>
    <x v="0"/>
    <n v="0"/>
    <x v="0"/>
    <x v="19"/>
    <b v="0"/>
    <n v="3"/>
    <x v="0"/>
    <n v="0.32"/>
    <n v="0.28789999999999999"/>
    <n v="0.56999999999999995"/>
    <n v="0.41789999999999999"/>
    <x v="17"/>
    <n v="108"/>
    <n v="112"/>
    <s v="Weekday"/>
    <s v="Evening"/>
    <s v="High"/>
  </r>
  <r>
    <n v="428"/>
    <d v="2011-01-19T00:00:00"/>
    <x v="0"/>
    <n v="0"/>
    <x v="0"/>
    <x v="20"/>
    <b v="0"/>
    <n v="3"/>
    <x v="0"/>
    <n v="0.32"/>
    <n v="0.30299999999999999"/>
    <n v="0.49"/>
    <n v="0.29849999999999999"/>
    <x v="4"/>
    <n v="74"/>
    <n v="76"/>
    <s v="Weekday"/>
    <s v="Evening"/>
    <s v="Low"/>
  </r>
  <r>
    <n v="429"/>
    <d v="2011-01-19T00:00:00"/>
    <x v="0"/>
    <n v="0"/>
    <x v="0"/>
    <x v="21"/>
    <b v="0"/>
    <n v="3"/>
    <x v="0"/>
    <n v="0.32"/>
    <n v="0.28789999999999999"/>
    <n v="0.49"/>
    <n v="0.41789999999999999"/>
    <x v="17"/>
    <n v="55"/>
    <n v="59"/>
    <s v="Weekday"/>
    <s v="Evening"/>
    <s v="Low"/>
  </r>
  <r>
    <n v="430"/>
    <d v="2011-01-19T00:00:00"/>
    <x v="0"/>
    <n v="0"/>
    <x v="0"/>
    <x v="22"/>
    <b v="0"/>
    <n v="3"/>
    <x v="0"/>
    <n v="0.3"/>
    <n v="0.30299999999999999"/>
    <n v="0.52"/>
    <n v="0.16420000000000001"/>
    <x v="15"/>
    <n v="53"/>
    <n v="59"/>
    <s v="Weekday"/>
    <s v="Evening"/>
    <s v="Low"/>
  </r>
  <r>
    <n v="431"/>
    <d v="2011-01-19T00:00:00"/>
    <x v="0"/>
    <n v="0"/>
    <x v="0"/>
    <x v="23"/>
    <b v="0"/>
    <n v="3"/>
    <x v="0"/>
    <n v="0.3"/>
    <n v="0.2727"/>
    <n v="0.52"/>
    <n v="0.4627"/>
    <x v="5"/>
    <n v="27"/>
    <n v="28"/>
    <s v="Weekday"/>
    <s v="Evening"/>
    <s v="Low"/>
  </r>
  <r>
    <n v="432"/>
    <d v="2011-01-20T00:00:00"/>
    <x v="0"/>
    <n v="0"/>
    <x v="0"/>
    <x v="0"/>
    <b v="0"/>
    <n v="4"/>
    <x v="0"/>
    <n v="0.26"/>
    <n v="0.2273"/>
    <n v="0.56000000000000005"/>
    <n v="0.3881"/>
    <x v="2"/>
    <n v="8"/>
    <n v="13"/>
    <s v="Weekday"/>
    <s v="Morning"/>
    <s v="Low"/>
  </r>
  <r>
    <n v="433"/>
    <d v="2011-01-20T00:00:00"/>
    <x v="0"/>
    <n v="0"/>
    <x v="0"/>
    <x v="1"/>
    <b v="0"/>
    <n v="4"/>
    <x v="0"/>
    <n v="0.26"/>
    <n v="0.2727"/>
    <n v="0.56000000000000005"/>
    <n v="0"/>
    <x v="4"/>
    <n v="3"/>
    <n v="5"/>
    <s v="Weekday"/>
    <s v="Morning"/>
    <s v="Low"/>
  </r>
  <r>
    <n v="434"/>
    <d v="2011-01-20T00:00:00"/>
    <x v="0"/>
    <n v="0"/>
    <x v="0"/>
    <x v="2"/>
    <b v="0"/>
    <n v="4"/>
    <x v="0"/>
    <n v="0.26"/>
    <n v="0.2727"/>
    <n v="0.56000000000000005"/>
    <n v="0"/>
    <x v="3"/>
    <n v="2"/>
    <n v="2"/>
    <s v="Weekday"/>
    <s v="Morning"/>
    <s v="Low"/>
  </r>
  <r>
    <n v="435"/>
    <d v="2011-01-20T00:00:00"/>
    <x v="0"/>
    <n v="0"/>
    <x v="0"/>
    <x v="3"/>
    <b v="0"/>
    <n v="4"/>
    <x v="0"/>
    <n v="0.26"/>
    <n v="0.2576"/>
    <n v="0.56000000000000005"/>
    <n v="0.16420000000000001"/>
    <x v="3"/>
    <n v="1"/>
    <n v="1"/>
    <s v="Weekday"/>
    <s v="Morning"/>
    <s v="Low"/>
  </r>
  <r>
    <n v="436"/>
    <d v="2011-01-20T00:00:00"/>
    <x v="0"/>
    <n v="0"/>
    <x v="0"/>
    <x v="4"/>
    <b v="0"/>
    <n v="4"/>
    <x v="0"/>
    <n v="0.26"/>
    <n v="0.2576"/>
    <n v="0.56000000000000005"/>
    <n v="0.16420000000000001"/>
    <x v="3"/>
    <n v="1"/>
    <n v="1"/>
    <s v="Weekday"/>
    <s v="Morning"/>
    <s v="Low"/>
  </r>
  <r>
    <n v="437"/>
    <d v="2011-01-20T00:00:00"/>
    <x v="0"/>
    <n v="0"/>
    <x v="0"/>
    <x v="5"/>
    <b v="0"/>
    <n v="4"/>
    <x v="0"/>
    <n v="0.24"/>
    <n v="0.2273"/>
    <n v="0.6"/>
    <n v="0.22389999999999999"/>
    <x v="3"/>
    <n v="6"/>
    <n v="6"/>
    <s v="Weekday"/>
    <s v="Morning"/>
    <s v="Low"/>
  </r>
  <r>
    <n v="438"/>
    <d v="2011-01-20T00:00:00"/>
    <x v="0"/>
    <n v="0"/>
    <x v="0"/>
    <x v="6"/>
    <b v="0"/>
    <n v="4"/>
    <x v="0"/>
    <n v="0.22"/>
    <n v="0.21210000000000001"/>
    <n v="0.6"/>
    <n v="0.22389999999999999"/>
    <x v="3"/>
    <n v="35"/>
    <n v="35"/>
    <s v="Weekday"/>
    <s v="Morning"/>
    <s v="Low"/>
  </r>
  <r>
    <n v="439"/>
    <d v="2011-01-20T00:00:00"/>
    <x v="0"/>
    <n v="0"/>
    <x v="0"/>
    <x v="7"/>
    <b v="0"/>
    <n v="4"/>
    <x v="0"/>
    <n v="0.22"/>
    <n v="0.21210000000000001"/>
    <n v="0.55000000000000004"/>
    <n v="0.22389999999999999"/>
    <x v="5"/>
    <n v="100"/>
    <n v="101"/>
    <s v="Weekday"/>
    <s v="Morning"/>
    <s v="High"/>
  </r>
  <r>
    <n v="440"/>
    <d v="2011-01-20T00:00:00"/>
    <x v="0"/>
    <n v="0"/>
    <x v="0"/>
    <x v="8"/>
    <b v="0"/>
    <n v="4"/>
    <x v="0"/>
    <n v="0.22"/>
    <n v="0.21210000000000001"/>
    <n v="0.55000000000000004"/>
    <n v="0.28360000000000002"/>
    <x v="4"/>
    <n v="247"/>
    <n v="249"/>
    <s v="Weekday"/>
    <s v="Morning"/>
    <s v="High"/>
  </r>
  <r>
    <n v="441"/>
    <d v="2011-01-20T00:00:00"/>
    <x v="0"/>
    <n v="0"/>
    <x v="0"/>
    <x v="9"/>
    <b v="0"/>
    <n v="4"/>
    <x v="1"/>
    <n v="0.24"/>
    <n v="0.2273"/>
    <n v="0.52"/>
    <n v="0.22389999999999999"/>
    <x v="0"/>
    <n v="140"/>
    <n v="143"/>
    <s v="Weekday"/>
    <s v="Morning"/>
    <s v="High"/>
  </r>
  <r>
    <n v="442"/>
    <d v="2011-01-20T00:00:00"/>
    <x v="0"/>
    <n v="0"/>
    <x v="0"/>
    <x v="10"/>
    <b v="0"/>
    <n v="4"/>
    <x v="0"/>
    <n v="0.26"/>
    <n v="0.2273"/>
    <n v="0.48"/>
    <n v="0.29849999999999999"/>
    <x v="5"/>
    <n v="56"/>
    <n v="57"/>
    <s v="Weekday"/>
    <s v="Morning"/>
    <s v="Low"/>
  </r>
  <r>
    <n v="443"/>
    <d v="2011-01-20T00:00:00"/>
    <x v="0"/>
    <n v="0"/>
    <x v="0"/>
    <x v="11"/>
    <b v="0"/>
    <n v="4"/>
    <x v="1"/>
    <n v="0.28000000000000003"/>
    <n v="0.2727"/>
    <n v="0.45"/>
    <n v="0.16420000000000001"/>
    <x v="2"/>
    <n v="63"/>
    <n v="68"/>
    <s v="Weekday"/>
    <s v="Morning"/>
    <s v="Low"/>
  </r>
  <r>
    <n v="444"/>
    <d v="2011-01-20T00:00:00"/>
    <x v="0"/>
    <n v="0"/>
    <x v="0"/>
    <x v="12"/>
    <b v="0"/>
    <n v="4"/>
    <x v="1"/>
    <n v="0.3"/>
    <n v="0.33329999999999999"/>
    <n v="0.42"/>
    <n v="0"/>
    <x v="18"/>
    <n v="77"/>
    <n v="84"/>
    <s v="Weekday"/>
    <s v="Afternoon"/>
    <s v="Low"/>
  </r>
  <r>
    <n v="445"/>
    <d v="2011-01-20T00:00:00"/>
    <x v="0"/>
    <n v="0"/>
    <x v="0"/>
    <x v="13"/>
    <b v="0"/>
    <n v="4"/>
    <x v="1"/>
    <n v="0.28000000000000003"/>
    <n v="0.28789999999999999"/>
    <n v="0.45"/>
    <n v="0.1045"/>
    <x v="6"/>
    <n v="86"/>
    <n v="98"/>
    <s v="Weekday"/>
    <s v="Afternoon"/>
    <s v="Low"/>
  </r>
  <r>
    <n v="446"/>
    <d v="2011-01-20T00:00:00"/>
    <x v="0"/>
    <n v="0"/>
    <x v="0"/>
    <x v="14"/>
    <b v="0"/>
    <n v="4"/>
    <x v="1"/>
    <n v="0.3"/>
    <n v="0.30299999999999999"/>
    <n v="0.45"/>
    <n v="0.1343"/>
    <x v="15"/>
    <n v="75"/>
    <n v="81"/>
    <s v="Weekday"/>
    <s v="Afternoon"/>
    <s v="Low"/>
  </r>
  <r>
    <n v="447"/>
    <d v="2011-01-20T00:00:00"/>
    <x v="0"/>
    <n v="0"/>
    <x v="0"/>
    <x v="15"/>
    <b v="0"/>
    <n v="4"/>
    <x v="1"/>
    <n v="0.32"/>
    <n v="0.31819999999999998"/>
    <n v="0.45"/>
    <n v="0.19400000000000001"/>
    <x v="1"/>
    <n v="62"/>
    <n v="70"/>
    <s v="Weekday"/>
    <s v="Afternoon"/>
    <s v="Low"/>
  </r>
  <r>
    <n v="448"/>
    <d v="2011-01-20T00:00:00"/>
    <x v="0"/>
    <n v="0"/>
    <x v="0"/>
    <x v="16"/>
    <b v="0"/>
    <n v="4"/>
    <x v="1"/>
    <n v="0.3"/>
    <n v="0.30299999999999999"/>
    <n v="0.49"/>
    <n v="0.1343"/>
    <x v="1"/>
    <n v="83"/>
    <n v="91"/>
    <s v="Weekday"/>
    <s v="Afternoon"/>
    <s v="Low"/>
  </r>
  <r>
    <n v="449"/>
    <d v="2011-01-20T00:00:00"/>
    <x v="0"/>
    <n v="0"/>
    <x v="0"/>
    <x v="17"/>
    <b v="0"/>
    <n v="4"/>
    <x v="1"/>
    <n v="0.3"/>
    <n v="0.31819999999999998"/>
    <n v="0.49"/>
    <n v="0.1045"/>
    <x v="1"/>
    <n v="207"/>
    <n v="215"/>
    <s v="Weekday"/>
    <s v="Afternoon"/>
    <s v="High"/>
  </r>
  <r>
    <n v="450"/>
    <d v="2011-01-20T00:00:00"/>
    <x v="0"/>
    <n v="0"/>
    <x v="0"/>
    <x v="18"/>
    <b v="0"/>
    <n v="4"/>
    <x v="1"/>
    <n v="0.26"/>
    <n v="0.2576"/>
    <n v="0.56000000000000005"/>
    <n v="0.19400000000000001"/>
    <x v="5"/>
    <n v="184"/>
    <n v="185"/>
    <s v="Weekday"/>
    <s v="Evening"/>
    <s v="High"/>
  </r>
  <r>
    <n v="451"/>
    <d v="2011-01-20T00:00:00"/>
    <x v="0"/>
    <n v="0"/>
    <x v="0"/>
    <x v="19"/>
    <b v="0"/>
    <n v="4"/>
    <x v="0"/>
    <n v="0.26"/>
    <n v="0.2273"/>
    <n v="0.56000000000000005"/>
    <n v="0.32840000000000003"/>
    <x v="15"/>
    <n v="146"/>
    <n v="152"/>
    <s v="Weekday"/>
    <s v="Evening"/>
    <s v="High"/>
  </r>
  <r>
    <n v="452"/>
    <d v="2011-01-20T00:00:00"/>
    <x v="0"/>
    <n v="0"/>
    <x v="0"/>
    <x v="20"/>
    <b v="0"/>
    <n v="4"/>
    <x v="1"/>
    <n v="0.26"/>
    <n v="0.2424"/>
    <n v="0.6"/>
    <n v="0.28360000000000002"/>
    <x v="4"/>
    <n v="124"/>
    <n v="126"/>
    <s v="Weekday"/>
    <s v="Evening"/>
    <s v="High"/>
  </r>
  <r>
    <n v="453"/>
    <d v="2011-01-20T00:00:00"/>
    <x v="0"/>
    <n v="0"/>
    <x v="0"/>
    <x v="21"/>
    <b v="0"/>
    <n v="4"/>
    <x v="1"/>
    <n v="0.24"/>
    <n v="0.2273"/>
    <n v="0.6"/>
    <n v="0.25369999999999998"/>
    <x v="0"/>
    <n v="54"/>
    <n v="57"/>
    <s v="Weekday"/>
    <s v="Evening"/>
    <s v="Low"/>
  </r>
  <r>
    <n v="454"/>
    <d v="2011-01-20T00:00:00"/>
    <x v="0"/>
    <n v="0"/>
    <x v="0"/>
    <x v="22"/>
    <b v="0"/>
    <n v="4"/>
    <x v="1"/>
    <n v="0.24"/>
    <n v="0.21210000000000001"/>
    <n v="0.65"/>
    <n v="0.28360000000000002"/>
    <x v="3"/>
    <n v="56"/>
    <n v="56"/>
    <s v="Weekday"/>
    <s v="Evening"/>
    <s v="Low"/>
  </r>
  <r>
    <n v="455"/>
    <d v="2011-01-20T00:00:00"/>
    <x v="0"/>
    <n v="0"/>
    <x v="0"/>
    <x v="23"/>
    <b v="0"/>
    <n v="4"/>
    <x v="1"/>
    <n v="0.24"/>
    <n v="0.21210000000000001"/>
    <n v="0.65"/>
    <n v="0.32840000000000003"/>
    <x v="0"/>
    <n v="28"/>
    <n v="31"/>
    <s v="Weekday"/>
    <s v="Evening"/>
    <s v="Low"/>
  </r>
  <r>
    <n v="456"/>
    <d v="2011-01-21T00:00:00"/>
    <x v="0"/>
    <n v="0"/>
    <x v="0"/>
    <x v="0"/>
    <b v="0"/>
    <n v="5"/>
    <x v="1"/>
    <n v="0.24"/>
    <n v="0.2273"/>
    <n v="0.7"/>
    <n v="0.25369999999999998"/>
    <x v="5"/>
    <n v="20"/>
    <n v="21"/>
    <s v="Weekday"/>
    <s v="Morning"/>
    <s v="Low"/>
  </r>
  <r>
    <n v="457"/>
    <d v="2011-01-21T00:00:00"/>
    <x v="0"/>
    <n v="0"/>
    <x v="0"/>
    <x v="1"/>
    <b v="0"/>
    <n v="5"/>
    <x v="1"/>
    <n v="0.24"/>
    <n v="0.2273"/>
    <n v="0.7"/>
    <n v="0.25369999999999998"/>
    <x v="3"/>
    <n v="6"/>
    <n v="6"/>
    <s v="Weekday"/>
    <s v="Morning"/>
    <s v="Low"/>
  </r>
  <r>
    <n v="458"/>
    <d v="2011-01-21T00:00:00"/>
    <x v="0"/>
    <n v="0"/>
    <x v="0"/>
    <x v="2"/>
    <b v="0"/>
    <n v="5"/>
    <x v="2"/>
    <n v="0.24"/>
    <n v="0.2424"/>
    <n v="0.75"/>
    <n v="0.16420000000000001"/>
    <x v="3"/>
    <n v="2"/>
    <n v="2"/>
    <s v="Weekday"/>
    <s v="Morning"/>
    <s v="Low"/>
  </r>
  <r>
    <n v="459"/>
    <d v="2011-01-21T00:00:00"/>
    <x v="0"/>
    <n v="0"/>
    <x v="0"/>
    <x v="3"/>
    <b v="0"/>
    <n v="5"/>
    <x v="2"/>
    <n v="0.22"/>
    <n v="0.21210000000000001"/>
    <n v="0.8"/>
    <n v="0.29849999999999999"/>
    <x v="3"/>
    <n v="1"/>
    <n v="1"/>
    <s v="Weekday"/>
    <s v="Morning"/>
    <s v="Low"/>
  </r>
  <r>
    <n v="460"/>
    <d v="2011-01-21T00:00:00"/>
    <x v="0"/>
    <n v="0"/>
    <x v="0"/>
    <x v="4"/>
    <b v="0"/>
    <n v="5"/>
    <x v="1"/>
    <n v="0.22"/>
    <n v="0.2576"/>
    <n v="0.87"/>
    <n v="8.9599999999999999E-2"/>
    <x v="3"/>
    <n v="1"/>
    <n v="1"/>
    <s v="Weekday"/>
    <s v="Morning"/>
    <s v="Low"/>
  </r>
  <r>
    <n v="461"/>
    <d v="2011-01-21T00:00:00"/>
    <x v="0"/>
    <n v="0"/>
    <x v="0"/>
    <x v="5"/>
    <b v="0"/>
    <n v="5"/>
    <x v="0"/>
    <n v="0.24"/>
    <n v="0.19700000000000001"/>
    <n v="0.6"/>
    <n v="0.41789999999999999"/>
    <x v="5"/>
    <n v="4"/>
    <n v="5"/>
    <s v="Weekday"/>
    <s v="Morning"/>
    <s v="Low"/>
  </r>
  <r>
    <n v="462"/>
    <d v="2011-01-21T00:00:00"/>
    <x v="0"/>
    <n v="0"/>
    <x v="0"/>
    <x v="6"/>
    <b v="0"/>
    <n v="5"/>
    <x v="0"/>
    <n v="0.22"/>
    <n v="0.21210000000000001"/>
    <n v="0.55000000000000004"/>
    <n v="0.25369999999999998"/>
    <x v="3"/>
    <n v="27"/>
    <n v="27"/>
    <s v="Weekday"/>
    <s v="Morning"/>
    <s v="Low"/>
  </r>
  <r>
    <n v="463"/>
    <d v="2011-01-21T00:00:00"/>
    <x v="0"/>
    <n v="0"/>
    <x v="0"/>
    <x v="7"/>
    <b v="0"/>
    <n v="5"/>
    <x v="0"/>
    <n v="0.2"/>
    <n v="0.18179999999999999"/>
    <n v="0.51"/>
    <n v="0.28360000000000002"/>
    <x v="4"/>
    <n v="66"/>
    <n v="68"/>
    <s v="Weekday"/>
    <s v="Morning"/>
    <s v="Low"/>
  </r>
  <r>
    <n v="464"/>
    <d v="2011-01-21T00:00:00"/>
    <x v="0"/>
    <n v="0"/>
    <x v="0"/>
    <x v="8"/>
    <b v="0"/>
    <n v="5"/>
    <x v="0"/>
    <n v="0.2"/>
    <n v="0.18179999999999999"/>
    <n v="0.47"/>
    <n v="0.32840000000000003"/>
    <x v="18"/>
    <n v="210"/>
    <n v="217"/>
    <s v="Weekday"/>
    <s v="Morning"/>
    <s v="High"/>
  </r>
  <r>
    <n v="465"/>
    <d v="2011-01-21T00:00:00"/>
    <x v="0"/>
    <n v="0"/>
    <x v="0"/>
    <x v="9"/>
    <b v="0"/>
    <n v="5"/>
    <x v="0"/>
    <n v="0.2"/>
    <n v="0.18179999999999999"/>
    <n v="0.51"/>
    <n v="0.35820000000000002"/>
    <x v="18"/>
    <n v="159"/>
    <n v="166"/>
    <s v="Weekday"/>
    <s v="Morning"/>
    <s v="High"/>
  </r>
  <r>
    <n v="466"/>
    <d v="2011-01-21T00:00:00"/>
    <x v="0"/>
    <n v="0"/>
    <x v="0"/>
    <x v="10"/>
    <b v="0"/>
    <n v="5"/>
    <x v="0"/>
    <n v="0.2"/>
    <n v="0.16669999999999999"/>
    <n v="0.47"/>
    <n v="0.4627"/>
    <x v="15"/>
    <n v="57"/>
    <n v="63"/>
    <s v="Weekday"/>
    <s v="Morning"/>
    <s v="Low"/>
  </r>
  <r>
    <n v="467"/>
    <d v="2011-01-21T00:00:00"/>
    <x v="0"/>
    <n v="0"/>
    <x v="0"/>
    <x v="11"/>
    <b v="0"/>
    <n v="5"/>
    <x v="0"/>
    <n v="0.22"/>
    <n v="0.18179999999999999"/>
    <n v="0.41"/>
    <n v="0.4627"/>
    <x v="15"/>
    <n v="53"/>
    <n v="59"/>
    <s v="Weekday"/>
    <s v="Morning"/>
    <s v="Low"/>
  </r>
  <r>
    <n v="468"/>
    <d v="2011-01-21T00:00:00"/>
    <x v="0"/>
    <n v="0"/>
    <x v="0"/>
    <x v="12"/>
    <b v="0"/>
    <n v="5"/>
    <x v="0"/>
    <n v="0.22"/>
    <n v="0.18179999999999999"/>
    <n v="0.27"/>
    <n v="0.58209999999999995"/>
    <x v="16"/>
    <n v="67"/>
    <n v="78"/>
    <s v="Weekday"/>
    <s v="Afternoon"/>
    <s v="Low"/>
  </r>
  <r>
    <n v="469"/>
    <d v="2011-01-21T00:00:00"/>
    <x v="0"/>
    <n v="0"/>
    <x v="0"/>
    <x v="13"/>
    <b v="0"/>
    <n v="5"/>
    <x v="0"/>
    <n v="0.2"/>
    <n v="0.1515"/>
    <n v="0.21"/>
    <n v="0.58209999999999995"/>
    <x v="1"/>
    <n v="65"/>
    <n v="73"/>
    <s v="Weekday"/>
    <s v="Afternoon"/>
    <s v="Low"/>
  </r>
  <r>
    <n v="470"/>
    <d v="2011-01-21T00:00:00"/>
    <x v="0"/>
    <n v="0"/>
    <x v="0"/>
    <x v="14"/>
    <b v="0"/>
    <n v="5"/>
    <x v="0"/>
    <n v="0.2"/>
    <n v="0.1515"/>
    <n v="0.25"/>
    <n v="0.52239999999999998"/>
    <x v="15"/>
    <n v="56"/>
    <n v="62"/>
    <s v="Weekday"/>
    <s v="Afternoon"/>
    <s v="Low"/>
  </r>
  <r>
    <n v="471"/>
    <d v="2011-01-21T00:00:00"/>
    <x v="0"/>
    <n v="0"/>
    <x v="0"/>
    <x v="15"/>
    <b v="0"/>
    <n v="5"/>
    <x v="0"/>
    <n v="0.16"/>
    <n v="0.1212"/>
    <n v="0.26"/>
    <n v="0.44779999999999998"/>
    <x v="17"/>
    <n v="61"/>
    <n v="65"/>
    <s v="Weekday"/>
    <s v="Afternoon"/>
    <s v="Low"/>
  </r>
  <r>
    <n v="472"/>
    <d v="2011-01-21T00:00:00"/>
    <x v="0"/>
    <n v="0"/>
    <x v="0"/>
    <x v="16"/>
    <b v="0"/>
    <n v="5"/>
    <x v="0"/>
    <n v="0.16"/>
    <n v="0.13639999999999999"/>
    <n v="0.26"/>
    <n v="0.35820000000000002"/>
    <x v="3"/>
    <n v="97"/>
    <n v="97"/>
    <s v="Weekday"/>
    <s v="Afternoon"/>
    <s v="Low"/>
  </r>
  <r>
    <n v="473"/>
    <d v="2011-01-21T00:00:00"/>
    <x v="0"/>
    <n v="0"/>
    <x v="0"/>
    <x v="17"/>
    <b v="0"/>
    <n v="5"/>
    <x v="0"/>
    <n v="0.14000000000000001"/>
    <n v="0.1212"/>
    <n v="0.28000000000000003"/>
    <n v="0.35820000000000002"/>
    <x v="22"/>
    <n v="151"/>
    <n v="161"/>
    <s v="Weekday"/>
    <s v="Afternoon"/>
    <s v="High"/>
  </r>
  <r>
    <n v="474"/>
    <d v="2011-01-21T00:00:00"/>
    <x v="0"/>
    <n v="0"/>
    <x v="0"/>
    <x v="18"/>
    <b v="0"/>
    <n v="5"/>
    <x v="0"/>
    <n v="0.12"/>
    <n v="0.1212"/>
    <n v="0.3"/>
    <n v="0.25369999999999998"/>
    <x v="5"/>
    <n v="119"/>
    <n v="120"/>
    <s v="Weekday"/>
    <s v="Evening"/>
    <s v="High"/>
  </r>
  <r>
    <n v="475"/>
    <d v="2011-01-21T00:00:00"/>
    <x v="0"/>
    <n v="0"/>
    <x v="0"/>
    <x v="19"/>
    <b v="0"/>
    <n v="5"/>
    <x v="0"/>
    <n v="0.12"/>
    <n v="0.1061"/>
    <n v="0.3"/>
    <n v="0.32840000000000003"/>
    <x v="0"/>
    <n v="93"/>
    <n v="96"/>
    <s v="Weekday"/>
    <s v="Evening"/>
    <s v="Low"/>
  </r>
  <r>
    <n v="476"/>
    <d v="2011-01-21T00:00:00"/>
    <x v="0"/>
    <n v="0"/>
    <x v="0"/>
    <x v="20"/>
    <b v="0"/>
    <n v="5"/>
    <x v="0"/>
    <n v="0.1"/>
    <n v="7.5800000000000006E-2"/>
    <n v="0.33"/>
    <n v="0.41789999999999999"/>
    <x v="5"/>
    <n v="52"/>
    <n v="53"/>
    <s v="Weekday"/>
    <s v="Evening"/>
    <s v="Low"/>
  </r>
  <r>
    <n v="477"/>
    <d v="2011-01-21T00:00:00"/>
    <x v="0"/>
    <n v="0"/>
    <x v="0"/>
    <x v="21"/>
    <b v="0"/>
    <n v="5"/>
    <x v="0"/>
    <n v="0.08"/>
    <n v="7.5800000000000006E-2"/>
    <n v="0.38"/>
    <n v="0.28360000000000002"/>
    <x v="3"/>
    <n v="41"/>
    <n v="41"/>
    <s v="Weekday"/>
    <s v="Evening"/>
    <s v="Low"/>
  </r>
  <r>
    <n v="478"/>
    <d v="2011-01-21T00:00:00"/>
    <x v="0"/>
    <n v="0"/>
    <x v="0"/>
    <x v="22"/>
    <b v="0"/>
    <n v="5"/>
    <x v="0"/>
    <n v="0.06"/>
    <n v="3.0300000000000001E-2"/>
    <n v="0.41"/>
    <n v="0.3881"/>
    <x v="5"/>
    <n v="33"/>
    <n v="34"/>
    <s v="Weekday"/>
    <s v="Evening"/>
    <s v="Low"/>
  </r>
  <r>
    <n v="479"/>
    <d v="2011-01-21T00:00:00"/>
    <x v="0"/>
    <n v="0"/>
    <x v="0"/>
    <x v="23"/>
    <b v="0"/>
    <n v="5"/>
    <x v="0"/>
    <n v="0.06"/>
    <n v="4.5499999999999999E-2"/>
    <n v="0.38"/>
    <n v="0.32840000000000003"/>
    <x v="3"/>
    <n v="27"/>
    <n v="27"/>
    <s v="Weekday"/>
    <s v="Evening"/>
    <s v="Low"/>
  </r>
  <r>
    <n v="480"/>
    <d v="2011-01-22T00:00:00"/>
    <x v="0"/>
    <n v="0"/>
    <x v="0"/>
    <x v="0"/>
    <b v="0"/>
    <n v="6"/>
    <x v="0"/>
    <n v="0.04"/>
    <n v="3.0300000000000001E-2"/>
    <n v="0.45"/>
    <n v="0.25369999999999998"/>
    <x v="3"/>
    <n v="13"/>
    <n v="13"/>
    <s v="Weekend"/>
    <s v="Morning"/>
    <s v="Low"/>
  </r>
  <r>
    <n v="481"/>
    <d v="2011-01-22T00:00:00"/>
    <x v="0"/>
    <n v="0"/>
    <x v="0"/>
    <x v="1"/>
    <b v="0"/>
    <n v="6"/>
    <x v="1"/>
    <n v="0.04"/>
    <n v="0"/>
    <n v="0.41"/>
    <n v="0.3881"/>
    <x v="0"/>
    <n v="9"/>
    <n v="12"/>
    <s v="Weekend"/>
    <s v="Morning"/>
    <s v="Low"/>
  </r>
  <r>
    <n v="482"/>
    <d v="2011-01-22T00:00:00"/>
    <x v="0"/>
    <n v="0"/>
    <x v="0"/>
    <x v="2"/>
    <b v="0"/>
    <n v="6"/>
    <x v="1"/>
    <n v="0.04"/>
    <n v="3.0300000000000001E-2"/>
    <n v="0.41"/>
    <n v="0.25369999999999998"/>
    <x v="3"/>
    <n v="11"/>
    <n v="11"/>
    <s v="Weekend"/>
    <s v="Morning"/>
    <s v="Low"/>
  </r>
  <r>
    <n v="483"/>
    <d v="2011-01-22T00:00:00"/>
    <x v="0"/>
    <n v="0"/>
    <x v="0"/>
    <x v="3"/>
    <b v="0"/>
    <n v="6"/>
    <x v="1"/>
    <n v="0.04"/>
    <n v="3.0300000000000001E-2"/>
    <n v="0.41"/>
    <n v="0.28360000000000002"/>
    <x v="5"/>
    <n v="6"/>
    <n v="7"/>
    <s v="Weekend"/>
    <s v="Morning"/>
    <s v="Low"/>
  </r>
  <r>
    <n v="484"/>
    <d v="2011-01-22T00:00:00"/>
    <x v="0"/>
    <n v="0"/>
    <x v="0"/>
    <x v="4"/>
    <b v="0"/>
    <n v="6"/>
    <x v="1"/>
    <n v="0.02"/>
    <n v="1.52E-2"/>
    <n v="0.48"/>
    <n v="0.29849999999999999"/>
    <x v="3"/>
    <n v="3"/>
    <n v="3"/>
    <s v="Weekend"/>
    <s v="Morning"/>
    <s v="Low"/>
  </r>
  <r>
    <n v="485"/>
    <d v="2011-01-22T00:00:00"/>
    <x v="0"/>
    <n v="0"/>
    <x v="0"/>
    <x v="6"/>
    <b v="0"/>
    <n v="6"/>
    <x v="1"/>
    <n v="0.02"/>
    <n v="3.0300000000000001E-2"/>
    <n v="0.44"/>
    <n v="0.22389999999999999"/>
    <x v="3"/>
    <n v="2"/>
    <n v="2"/>
    <s v="Weekend"/>
    <s v="Morning"/>
    <s v="Low"/>
  </r>
  <r>
    <n v="486"/>
    <d v="2011-01-22T00:00:00"/>
    <x v="0"/>
    <n v="0"/>
    <x v="0"/>
    <x v="7"/>
    <b v="0"/>
    <n v="6"/>
    <x v="0"/>
    <n v="0.02"/>
    <n v="1.52E-2"/>
    <n v="0.44"/>
    <n v="0.28360000000000002"/>
    <x v="3"/>
    <n v="8"/>
    <n v="8"/>
    <s v="Weekend"/>
    <s v="Morning"/>
    <s v="Low"/>
  </r>
  <r>
    <n v="487"/>
    <d v="2011-01-22T00:00:00"/>
    <x v="0"/>
    <n v="0"/>
    <x v="0"/>
    <x v="8"/>
    <b v="0"/>
    <n v="6"/>
    <x v="0"/>
    <n v="0.02"/>
    <n v="0"/>
    <n v="0.44"/>
    <n v="0.32840000000000003"/>
    <x v="5"/>
    <n v="26"/>
    <n v="27"/>
    <s v="Weekend"/>
    <s v="Morning"/>
    <s v="Low"/>
  </r>
  <r>
    <n v="488"/>
    <d v="2011-01-22T00:00:00"/>
    <x v="0"/>
    <n v="0"/>
    <x v="0"/>
    <x v="9"/>
    <b v="0"/>
    <n v="6"/>
    <x v="0"/>
    <n v="0.04"/>
    <n v="3.0300000000000001E-2"/>
    <n v="0.41"/>
    <n v="0.25369999999999998"/>
    <x v="0"/>
    <n v="37"/>
    <n v="40"/>
    <s v="Weekend"/>
    <s v="Morning"/>
    <s v="Low"/>
  </r>
  <r>
    <n v="489"/>
    <d v="2011-01-22T00:00:00"/>
    <x v="0"/>
    <n v="0"/>
    <x v="0"/>
    <x v="10"/>
    <b v="0"/>
    <n v="6"/>
    <x v="1"/>
    <n v="0.04"/>
    <n v="6.0600000000000001E-2"/>
    <n v="0.41"/>
    <n v="0.16420000000000001"/>
    <x v="0"/>
    <n v="50"/>
    <n v="53"/>
    <s v="Weekend"/>
    <s v="Morning"/>
    <s v="Low"/>
  </r>
  <r>
    <n v="490"/>
    <d v="2011-01-22T00:00:00"/>
    <x v="0"/>
    <n v="0"/>
    <x v="0"/>
    <x v="11"/>
    <b v="0"/>
    <n v="6"/>
    <x v="1"/>
    <n v="0.06"/>
    <n v="7.5800000000000006E-2"/>
    <n v="0.38"/>
    <n v="0.1343"/>
    <x v="17"/>
    <n v="59"/>
    <n v="63"/>
    <s v="Weekend"/>
    <s v="Morning"/>
    <s v="Low"/>
  </r>
  <r>
    <n v="491"/>
    <d v="2011-01-22T00:00:00"/>
    <x v="0"/>
    <n v="0"/>
    <x v="0"/>
    <x v="12"/>
    <b v="0"/>
    <n v="6"/>
    <x v="1"/>
    <n v="0.06"/>
    <n v="0.1061"/>
    <n v="0.38"/>
    <n v="0.1045"/>
    <x v="22"/>
    <n v="60"/>
    <n v="70"/>
    <s v="Weekend"/>
    <s v="Afternoon"/>
    <s v="Low"/>
  </r>
  <r>
    <n v="492"/>
    <d v="2011-01-22T00:00:00"/>
    <x v="0"/>
    <n v="0"/>
    <x v="0"/>
    <x v="13"/>
    <b v="0"/>
    <n v="6"/>
    <x v="0"/>
    <n v="0.08"/>
    <n v="0.16669999999999999"/>
    <n v="0.35"/>
    <n v="0"/>
    <x v="6"/>
    <n v="72"/>
    <n v="84"/>
    <s v="Weekend"/>
    <s v="Afternoon"/>
    <s v="Low"/>
  </r>
  <r>
    <n v="493"/>
    <d v="2011-01-22T00:00:00"/>
    <x v="0"/>
    <n v="0"/>
    <x v="0"/>
    <x v="14"/>
    <b v="0"/>
    <n v="6"/>
    <x v="0"/>
    <n v="0.1"/>
    <n v="0.13639999999999999"/>
    <n v="0.33"/>
    <n v="0.1045"/>
    <x v="16"/>
    <n v="64"/>
    <n v="75"/>
    <s v="Weekend"/>
    <s v="Afternoon"/>
    <s v="Low"/>
  </r>
  <r>
    <n v="494"/>
    <d v="2011-01-22T00:00:00"/>
    <x v="0"/>
    <n v="0"/>
    <x v="0"/>
    <x v="15"/>
    <b v="0"/>
    <n v="6"/>
    <x v="0"/>
    <n v="0.12"/>
    <n v="0.1515"/>
    <n v="0.28000000000000003"/>
    <n v="0"/>
    <x v="22"/>
    <n v="93"/>
    <n v="103"/>
    <s v="Weekend"/>
    <s v="Afternoon"/>
    <s v="High"/>
  </r>
  <r>
    <n v="495"/>
    <d v="2011-01-22T00:00:00"/>
    <x v="0"/>
    <n v="0"/>
    <x v="0"/>
    <x v="16"/>
    <b v="0"/>
    <n v="6"/>
    <x v="0"/>
    <n v="0.12"/>
    <n v="0.13639999999999999"/>
    <n v="0.28000000000000003"/>
    <n v="0.19400000000000001"/>
    <x v="16"/>
    <n v="72"/>
    <n v="83"/>
    <s v="Weekend"/>
    <s v="Afternoon"/>
    <s v="Low"/>
  </r>
  <r>
    <n v="496"/>
    <d v="2011-01-22T00:00:00"/>
    <x v="0"/>
    <n v="0"/>
    <x v="0"/>
    <x v="17"/>
    <b v="0"/>
    <n v="6"/>
    <x v="0"/>
    <n v="0.12"/>
    <n v="0.19700000000000001"/>
    <n v="0.28000000000000003"/>
    <n v="0"/>
    <x v="1"/>
    <n v="59"/>
    <n v="67"/>
    <s v="Weekend"/>
    <s v="Afternoon"/>
    <s v="Low"/>
  </r>
  <r>
    <n v="497"/>
    <d v="2011-01-22T00:00:00"/>
    <x v="0"/>
    <n v="0"/>
    <x v="0"/>
    <x v="18"/>
    <b v="0"/>
    <n v="6"/>
    <x v="0"/>
    <n v="0.08"/>
    <n v="9.0899999999999995E-2"/>
    <n v="0.35"/>
    <n v="0.19400000000000001"/>
    <x v="3"/>
    <n v="54"/>
    <n v="54"/>
    <s v="Weekend"/>
    <s v="Evening"/>
    <s v="Low"/>
  </r>
  <r>
    <n v="498"/>
    <d v="2011-01-22T00:00:00"/>
    <x v="0"/>
    <n v="0"/>
    <x v="0"/>
    <x v="19"/>
    <b v="0"/>
    <n v="6"/>
    <x v="0"/>
    <n v="0.08"/>
    <n v="0.1061"/>
    <n v="0.35"/>
    <n v="0.1343"/>
    <x v="15"/>
    <n v="53"/>
    <n v="59"/>
    <s v="Weekend"/>
    <s v="Evening"/>
    <s v="Low"/>
  </r>
  <r>
    <n v="499"/>
    <d v="2011-01-22T00:00:00"/>
    <x v="0"/>
    <n v="0"/>
    <x v="0"/>
    <x v="20"/>
    <b v="0"/>
    <n v="6"/>
    <x v="0"/>
    <n v="0.06"/>
    <n v="7.5800000000000006E-2"/>
    <n v="0.45"/>
    <n v="0.16420000000000001"/>
    <x v="5"/>
    <n v="44"/>
    <n v="45"/>
    <s v="Weekend"/>
    <s v="Evening"/>
    <s v="Low"/>
  </r>
  <r>
    <n v="500"/>
    <d v="2011-01-22T00:00:00"/>
    <x v="0"/>
    <n v="0"/>
    <x v="0"/>
    <x v="21"/>
    <b v="0"/>
    <n v="6"/>
    <x v="0"/>
    <n v="0.06"/>
    <n v="0.1061"/>
    <n v="0.41"/>
    <n v="8.9599999999999999E-2"/>
    <x v="3"/>
    <n v="39"/>
    <n v="39"/>
    <s v="Weekend"/>
    <s v="Evening"/>
    <s v="Low"/>
  </r>
  <r>
    <n v="501"/>
    <d v="2011-01-22T00:00:00"/>
    <x v="0"/>
    <n v="0"/>
    <x v="0"/>
    <x v="22"/>
    <b v="0"/>
    <n v="6"/>
    <x v="0"/>
    <n v="0.06"/>
    <n v="0.1515"/>
    <n v="0.49"/>
    <n v="0"/>
    <x v="18"/>
    <n v="23"/>
    <n v="30"/>
    <s v="Weekend"/>
    <s v="Evening"/>
    <s v="Low"/>
  </r>
  <r>
    <n v="502"/>
    <d v="2011-01-22T00:00:00"/>
    <x v="0"/>
    <n v="0"/>
    <x v="0"/>
    <x v="23"/>
    <b v="0"/>
    <n v="6"/>
    <x v="0"/>
    <n v="0.04"/>
    <n v="7.5800000000000006E-2"/>
    <n v="0.56999999999999995"/>
    <n v="0.1045"/>
    <x v="4"/>
    <n v="31"/>
    <n v="33"/>
    <s v="Weekend"/>
    <s v="Evening"/>
    <s v="Low"/>
  </r>
  <r>
    <n v="503"/>
    <d v="2011-01-23T00:00:00"/>
    <x v="0"/>
    <n v="0"/>
    <x v="0"/>
    <x v="0"/>
    <b v="0"/>
    <n v="0"/>
    <x v="0"/>
    <n v="0.04"/>
    <n v="7.5800000000000006E-2"/>
    <n v="0.56999999999999995"/>
    <n v="0.1045"/>
    <x v="4"/>
    <n v="20"/>
    <n v="22"/>
    <s v="Weekend"/>
    <s v="Morning"/>
    <s v="Low"/>
  </r>
  <r>
    <n v="504"/>
    <d v="2011-01-23T00:00:00"/>
    <x v="0"/>
    <n v="0"/>
    <x v="0"/>
    <x v="1"/>
    <b v="0"/>
    <n v="0"/>
    <x v="0"/>
    <n v="0.04"/>
    <n v="7.5800000000000006E-2"/>
    <n v="0.56999999999999995"/>
    <n v="0.1045"/>
    <x v="5"/>
    <n v="12"/>
    <n v="13"/>
    <s v="Weekend"/>
    <s v="Morning"/>
    <s v="Low"/>
  </r>
  <r>
    <n v="505"/>
    <d v="2011-01-23T00:00:00"/>
    <x v="0"/>
    <n v="0"/>
    <x v="0"/>
    <x v="2"/>
    <b v="0"/>
    <n v="0"/>
    <x v="0"/>
    <n v="0.02"/>
    <n v="6.0600000000000001E-2"/>
    <n v="0.62"/>
    <n v="0.1343"/>
    <x v="0"/>
    <n v="15"/>
    <n v="18"/>
    <s v="Weekend"/>
    <s v="Morning"/>
    <s v="Low"/>
  </r>
  <r>
    <n v="506"/>
    <d v="2011-01-23T00:00:00"/>
    <x v="0"/>
    <n v="0"/>
    <x v="0"/>
    <x v="3"/>
    <b v="0"/>
    <n v="0"/>
    <x v="0"/>
    <n v="0.02"/>
    <n v="6.0600000000000001E-2"/>
    <n v="0.62"/>
    <n v="0.1343"/>
    <x v="5"/>
    <n v="4"/>
    <n v="5"/>
    <s v="Weekend"/>
    <s v="Morning"/>
    <s v="Low"/>
  </r>
  <r>
    <n v="507"/>
    <d v="2011-01-23T00:00:00"/>
    <x v="0"/>
    <n v="0"/>
    <x v="0"/>
    <x v="5"/>
    <b v="0"/>
    <n v="0"/>
    <x v="1"/>
    <n v="0.04"/>
    <n v="7.5800000000000006E-2"/>
    <n v="0.56999999999999995"/>
    <n v="0.1045"/>
    <x v="3"/>
    <n v="3"/>
    <n v="3"/>
    <s v="Weekend"/>
    <s v="Morning"/>
    <s v="Low"/>
  </r>
  <r>
    <n v="508"/>
    <d v="2011-01-23T00:00:00"/>
    <x v="0"/>
    <n v="0"/>
    <x v="0"/>
    <x v="6"/>
    <b v="0"/>
    <n v="0"/>
    <x v="1"/>
    <n v="0.04"/>
    <n v="7.5800000000000006E-2"/>
    <n v="0.56999999999999995"/>
    <n v="0.1045"/>
    <x v="3"/>
    <n v="1"/>
    <n v="1"/>
    <s v="Weekend"/>
    <s v="Morning"/>
    <s v="Low"/>
  </r>
  <r>
    <n v="509"/>
    <d v="2011-01-23T00:00:00"/>
    <x v="0"/>
    <n v="0"/>
    <x v="0"/>
    <x v="7"/>
    <b v="0"/>
    <n v="0"/>
    <x v="0"/>
    <n v="0.08"/>
    <n v="0.1061"/>
    <n v="0.57999999999999996"/>
    <n v="0.16420000000000001"/>
    <x v="5"/>
    <n v="1"/>
    <n v="2"/>
    <s v="Weekend"/>
    <s v="Morning"/>
    <s v="Low"/>
  </r>
  <r>
    <n v="510"/>
    <d v="2011-01-23T00:00:00"/>
    <x v="0"/>
    <n v="0"/>
    <x v="0"/>
    <x v="8"/>
    <b v="0"/>
    <n v="0"/>
    <x v="0"/>
    <n v="0.06"/>
    <n v="7.5800000000000006E-2"/>
    <n v="0.62"/>
    <n v="0.16420000000000001"/>
    <x v="4"/>
    <n v="17"/>
    <n v="19"/>
    <s v="Weekend"/>
    <s v="Morning"/>
    <s v="Low"/>
  </r>
  <r>
    <n v="511"/>
    <d v="2011-01-23T00:00:00"/>
    <x v="0"/>
    <n v="0"/>
    <x v="0"/>
    <x v="9"/>
    <b v="0"/>
    <n v="0"/>
    <x v="0"/>
    <n v="0.1"/>
    <n v="7.5800000000000006E-2"/>
    <n v="0.54"/>
    <n v="0.35820000000000002"/>
    <x v="0"/>
    <n v="25"/>
    <n v="28"/>
    <s v="Weekend"/>
    <s v="Morning"/>
    <s v="Low"/>
  </r>
  <r>
    <n v="512"/>
    <d v="2011-01-23T00:00:00"/>
    <x v="0"/>
    <n v="0"/>
    <x v="0"/>
    <x v="10"/>
    <b v="0"/>
    <n v="0"/>
    <x v="0"/>
    <n v="0.14000000000000001"/>
    <n v="0.1061"/>
    <n v="0.46"/>
    <n v="0.3881"/>
    <x v="18"/>
    <n v="51"/>
    <n v="58"/>
    <s v="Weekend"/>
    <s v="Morning"/>
    <s v="Low"/>
  </r>
  <r>
    <n v="513"/>
    <d v="2011-01-23T00:00:00"/>
    <x v="0"/>
    <n v="0"/>
    <x v="0"/>
    <x v="11"/>
    <b v="0"/>
    <n v="0"/>
    <x v="0"/>
    <n v="0.14000000000000001"/>
    <n v="0.13639999999999999"/>
    <n v="0.43"/>
    <n v="0.22389999999999999"/>
    <x v="30"/>
    <n v="77"/>
    <n v="99"/>
    <s v="Weekend"/>
    <s v="Morning"/>
    <s v="Low"/>
  </r>
  <r>
    <n v="514"/>
    <d v="2011-01-23T00:00:00"/>
    <x v="0"/>
    <n v="0"/>
    <x v="0"/>
    <x v="12"/>
    <b v="0"/>
    <n v="0"/>
    <x v="0"/>
    <n v="0.16"/>
    <n v="0.1212"/>
    <n v="0.37"/>
    <n v="0.4627"/>
    <x v="31"/>
    <n v="92"/>
    <n v="116"/>
    <s v="Weekend"/>
    <s v="Afternoon"/>
    <s v="High"/>
  </r>
  <r>
    <n v="515"/>
    <d v="2011-01-23T00:00:00"/>
    <x v="0"/>
    <n v="0"/>
    <x v="0"/>
    <x v="13"/>
    <b v="0"/>
    <n v="0"/>
    <x v="0"/>
    <n v="0.14000000000000001"/>
    <n v="0.1061"/>
    <n v="0.33"/>
    <n v="0.3881"/>
    <x v="6"/>
    <n v="75"/>
    <n v="87"/>
    <s v="Weekend"/>
    <s v="Afternoon"/>
    <s v="Low"/>
  </r>
  <r>
    <n v="516"/>
    <d v="2011-01-23T00:00:00"/>
    <x v="0"/>
    <n v="0"/>
    <x v="0"/>
    <x v="14"/>
    <b v="0"/>
    <n v="0"/>
    <x v="0"/>
    <n v="0.16"/>
    <n v="0.13639999999999999"/>
    <n v="0.28000000000000003"/>
    <n v="0.35820000000000002"/>
    <x v="26"/>
    <n v="93"/>
    <n v="110"/>
    <s v="Weekend"/>
    <s v="Afternoon"/>
    <s v="High"/>
  </r>
  <r>
    <n v="517"/>
    <d v="2011-01-23T00:00:00"/>
    <x v="0"/>
    <n v="0"/>
    <x v="0"/>
    <x v="15"/>
    <b v="0"/>
    <n v="0"/>
    <x v="0"/>
    <n v="0.16"/>
    <n v="0.13639999999999999"/>
    <n v="0.28000000000000003"/>
    <n v="0.35820000000000002"/>
    <x v="23"/>
    <n v="64"/>
    <n v="77"/>
    <s v="Weekend"/>
    <s v="Afternoon"/>
    <s v="Low"/>
  </r>
  <r>
    <n v="518"/>
    <d v="2011-01-23T00:00:00"/>
    <x v="0"/>
    <n v="0"/>
    <x v="0"/>
    <x v="16"/>
    <b v="0"/>
    <n v="0"/>
    <x v="0"/>
    <n v="0.16"/>
    <n v="0.13639999999999999"/>
    <n v="0.26"/>
    <n v="0.32840000000000003"/>
    <x v="14"/>
    <n v="56"/>
    <n v="65"/>
    <s v="Weekend"/>
    <s v="Afternoon"/>
    <s v="Low"/>
  </r>
  <r>
    <n v="519"/>
    <d v="2011-01-23T00:00:00"/>
    <x v="0"/>
    <n v="0"/>
    <x v="0"/>
    <x v="17"/>
    <b v="0"/>
    <n v="0"/>
    <x v="0"/>
    <n v="0.14000000000000001"/>
    <n v="0.1061"/>
    <n v="0.26"/>
    <n v="0.3881"/>
    <x v="2"/>
    <n v="50"/>
    <n v="55"/>
    <s v="Weekend"/>
    <s v="Afternoon"/>
    <s v="Low"/>
  </r>
  <r>
    <n v="520"/>
    <d v="2011-01-23T00:00:00"/>
    <x v="0"/>
    <n v="0"/>
    <x v="0"/>
    <x v="18"/>
    <b v="0"/>
    <n v="0"/>
    <x v="0"/>
    <n v="0.12"/>
    <n v="0.1212"/>
    <n v="0.3"/>
    <n v="0.25369999999999998"/>
    <x v="2"/>
    <n v="44"/>
    <n v="49"/>
    <s v="Weekend"/>
    <s v="Evening"/>
    <s v="Low"/>
  </r>
  <r>
    <n v="521"/>
    <d v="2011-01-23T00:00:00"/>
    <x v="0"/>
    <n v="0"/>
    <x v="0"/>
    <x v="19"/>
    <b v="0"/>
    <n v="0"/>
    <x v="0"/>
    <n v="0.12"/>
    <n v="0.1212"/>
    <n v="0.3"/>
    <n v="0.28360000000000002"/>
    <x v="2"/>
    <n v="45"/>
    <n v="50"/>
    <s v="Weekend"/>
    <s v="Evening"/>
    <s v="Low"/>
  </r>
  <r>
    <n v="522"/>
    <d v="2011-01-23T00:00:00"/>
    <x v="0"/>
    <n v="0"/>
    <x v="0"/>
    <x v="20"/>
    <b v="0"/>
    <n v="0"/>
    <x v="0"/>
    <n v="0.1"/>
    <n v="0.1061"/>
    <n v="0.36"/>
    <n v="0.25369999999999998"/>
    <x v="17"/>
    <n v="31"/>
    <n v="35"/>
    <s v="Weekend"/>
    <s v="Evening"/>
    <s v="Low"/>
  </r>
  <r>
    <n v="523"/>
    <d v="2011-01-23T00:00:00"/>
    <x v="0"/>
    <n v="0"/>
    <x v="0"/>
    <x v="21"/>
    <b v="0"/>
    <n v="0"/>
    <x v="0"/>
    <n v="0.1"/>
    <n v="0.1061"/>
    <n v="0.36"/>
    <n v="0.19400000000000001"/>
    <x v="2"/>
    <n v="20"/>
    <n v="25"/>
    <s v="Weekend"/>
    <s v="Evening"/>
    <s v="Low"/>
  </r>
  <r>
    <n v="524"/>
    <d v="2011-01-23T00:00:00"/>
    <x v="0"/>
    <n v="0"/>
    <x v="0"/>
    <x v="22"/>
    <b v="0"/>
    <n v="0"/>
    <x v="0"/>
    <n v="0.08"/>
    <n v="9.0899999999999995E-2"/>
    <n v="0.38"/>
    <n v="0.19400000000000001"/>
    <x v="2"/>
    <n v="23"/>
    <n v="28"/>
    <s v="Weekend"/>
    <s v="Evening"/>
    <s v="Low"/>
  </r>
  <r>
    <n v="525"/>
    <d v="2011-01-23T00:00:00"/>
    <x v="0"/>
    <n v="0"/>
    <x v="0"/>
    <x v="23"/>
    <b v="0"/>
    <n v="0"/>
    <x v="0"/>
    <n v="0.06"/>
    <n v="6.0600000000000001E-2"/>
    <n v="0.41"/>
    <n v="0.22389999999999999"/>
    <x v="17"/>
    <n v="17"/>
    <n v="21"/>
    <s v="Weekend"/>
    <s v="Evening"/>
    <s v="Low"/>
  </r>
  <r>
    <n v="526"/>
    <d v="2011-01-24T00:00:00"/>
    <x v="0"/>
    <n v="0"/>
    <x v="0"/>
    <x v="0"/>
    <b v="0"/>
    <n v="1"/>
    <x v="0"/>
    <n v="0.06"/>
    <n v="6.0600000000000001E-2"/>
    <n v="0.41"/>
    <n v="0.19400000000000001"/>
    <x v="3"/>
    <n v="7"/>
    <n v="7"/>
    <s v="Weekday"/>
    <s v="Morning"/>
    <s v="Low"/>
  </r>
  <r>
    <n v="527"/>
    <d v="2011-01-24T00:00:00"/>
    <x v="0"/>
    <n v="0"/>
    <x v="0"/>
    <x v="1"/>
    <b v="0"/>
    <n v="1"/>
    <x v="0"/>
    <n v="0.04"/>
    <n v="4.5499999999999999E-2"/>
    <n v="0.45"/>
    <n v="0.19400000000000001"/>
    <x v="3"/>
    <n v="1"/>
    <n v="1"/>
    <s v="Weekday"/>
    <s v="Morning"/>
    <s v="Low"/>
  </r>
  <r>
    <n v="528"/>
    <d v="2011-01-24T00:00:00"/>
    <x v="0"/>
    <n v="0"/>
    <x v="0"/>
    <x v="3"/>
    <b v="0"/>
    <n v="1"/>
    <x v="0"/>
    <n v="0.04"/>
    <n v="3.0300000000000001E-2"/>
    <n v="0.45"/>
    <n v="0.25369999999999998"/>
    <x v="3"/>
    <n v="1"/>
    <n v="1"/>
    <s v="Weekday"/>
    <s v="Morning"/>
    <s v="Low"/>
  </r>
  <r>
    <n v="529"/>
    <d v="2011-01-24T00:00:00"/>
    <x v="0"/>
    <n v="0"/>
    <x v="0"/>
    <x v="4"/>
    <b v="0"/>
    <n v="1"/>
    <x v="0"/>
    <n v="0.02"/>
    <n v="6.0600000000000001E-2"/>
    <n v="0.48"/>
    <n v="0.1343"/>
    <x v="3"/>
    <n v="1"/>
    <n v="1"/>
    <s v="Weekday"/>
    <s v="Morning"/>
    <s v="Low"/>
  </r>
  <r>
    <n v="530"/>
    <d v="2011-01-24T00:00:00"/>
    <x v="0"/>
    <n v="0"/>
    <x v="0"/>
    <x v="5"/>
    <b v="0"/>
    <n v="1"/>
    <x v="0"/>
    <n v="0.02"/>
    <n v="6.0600000000000001E-2"/>
    <n v="0.48"/>
    <n v="0.1343"/>
    <x v="3"/>
    <n v="5"/>
    <n v="5"/>
    <s v="Weekday"/>
    <s v="Morning"/>
    <s v="Low"/>
  </r>
  <r>
    <n v="531"/>
    <d v="2011-01-24T00:00:00"/>
    <x v="0"/>
    <n v="0"/>
    <x v="0"/>
    <x v="6"/>
    <b v="0"/>
    <n v="1"/>
    <x v="0"/>
    <n v="0.02"/>
    <n v="7.5800000000000006E-2"/>
    <n v="0.48"/>
    <n v="8.9599999999999999E-2"/>
    <x v="3"/>
    <n v="15"/>
    <n v="15"/>
    <s v="Weekday"/>
    <s v="Morning"/>
    <s v="Low"/>
  </r>
  <r>
    <n v="532"/>
    <d v="2011-01-24T00:00:00"/>
    <x v="0"/>
    <n v="0"/>
    <x v="0"/>
    <x v="7"/>
    <b v="0"/>
    <n v="1"/>
    <x v="0"/>
    <n v="0.02"/>
    <n v="0.1212"/>
    <n v="0.48"/>
    <n v="0"/>
    <x v="2"/>
    <n v="79"/>
    <n v="84"/>
    <s v="Weekday"/>
    <s v="Morning"/>
    <s v="Low"/>
  </r>
  <r>
    <n v="533"/>
    <d v="2011-01-24T00:00:00"/>
    <x v="0"/>
    <n v="0"/>
    <x v="0"/>
    <x v="8"/>
    <b v="0"/>
    <n v="1"/>
    <x v="0"/>
    <n v="0.04"/>
    <n v="0.13639999999999999"/>
    <n v="0.49"/>
    <n v="0"/>
    <x v="15"/>
    <n v="171"/>
    <n v="177"/>
    <s v="Weekday"/>
    <s v="Morning"/>
    <s v="High"/>
  </r>
  <r>
    <n v="534"/>
    <d v="2011-01-24T00:00:00"/>
    <x v="0"/>
    <n v="0"/>
    <x v="0"/>
    <x v="9"/>
    <b v="0"/>
    <n v="1"/>
    <x v="0"/>
    <n v="0.06"/>
    <n v="0.1515"/>
    <n v="0.41"/>
    <n v="0"/>
    <x v="17"/>
    <n v="98"/>
    <n v="102"/>
    <s v="Weekday"/>
    <s v="Morning"/>
    <s v="High"/>
  </r>
  <r>
    <n v="535"/>
    <d v="2011-01-24T00:00:00"/>
    <x v="0"/>
    <n v="0"/>
    <x v="0"/>
    <x v="10"/>
    <b v="0"/>
    <n v="1"/>
    <x v="0"/>
    <n v="0.1"/>
    <n v="0.13639999999999999"/>
    <n v="0.42"/>
    <n v="0"/>
    <x v="15"/>
    <n v="34"/>
    <n v="40"/>
    <s v="Weekday"/>
    <s v="Morning"/>
    <s v="Low"/>
  </r>
  <r>
    <n v="536"/>
    <d v="2011-01-24T00:00:00"/>
    <x v="0"/>
    <n v="0"/>
    <x v="0"/>
    <x v="11"/>
    <b v="0"/>
    <n v="1"/>
    <x v="0"/>
    <n v="0.1"/>
    <n v="0.1212"/>
    <n v="0.46"/>
    <n v="0.1343"/>
    <x v="0"/>
    <n v="43"/>
    <n v="46"/>
    <s v="Weekday"/>
    <s v="Morning"/>
    <s v="Low"/>
  </r>
  <r>
    <n v="537"/>
    <d v="2011-01-24T00:00:00"/>
    <x v="0"/>
    <n v="0"/>
    <x v="0"/>
    <x v="12"/>
    <b v="0"/>
    <n v="1"/>
    <x v="1"/>
    <n v="0.12"/>
    <n v="0.13639999999999999"/>
    <n v="0.42"/>
    <n v="0.19400000000000001"/>
    <x v="16"/>
    <n v="52"/>
    <n v="63"/>
    <s v="Weekday"/>
    <s v="Afternoon"/>
    <s v="Low"/>
  </r>
  <r>
    <n v="538"/>
    <d v="2011-01-24T00:00:00"/>
    <x v="0"/>
    <n v="0"/>
    <x v="0"/>
    <x v="13"/>
    <b v="0"/>
    <n v="1"/>
    <x v="1"/>
    <n v="0.14000000000000001"/>
    <n v="0.13639999999999999"/>
    <n v="0.43"/>
    <n v="0.22389999999999999"/>
    <x v="15"/>
    <n v="54"/>
    <n v="60"/>
    <s v="Weekday"/>
    <s v="Afternoon"/>
    <s v="Low"/>
  </r>
  <r>
    <n v="539"/>
    <d v="2011-01-24T00:00:00"/>
    <x v="0"/>
    <n v="0"/>
    <x v="0"/>
    <x v="14"/>
    <b v="0"/>
    <n v="1"/>
    <x v="1"/>
    <n v="0.14000000000000001"/>
    <n v="0.13639999999999999"/>
    <n v="0.46"/>
    <n v="0.22389999999999999"/>
    <x v="4"/>
    <n v="43"/>
    <n v="45"/>
    <s v="Weekday"/>
    <s v="Afternoon"/>
    <s v="Low"/>
  </r>
  <r>
    <n v="540"/>
    <d v="2011-01-24T00:00:00"/>
    <x v="0"/>
    <n v="0"/>
    <x v="0"/>
    <x v="15"/>
    <b v="0"/>
    <n v="1"/>
    <x v="0"/>
    <n v="0.16"/>
    <n v="0.16669999999999999"/>
    <n v="0.4"/>
    <n v="0.16420000000000001"/>
    <x v="18"/>
    <n v="50"/>
    <n v="57"/>
    <s v="Weekday"/>
    <s v="Afternoon"/>
    <s v="Low"/>
  </r>
  <r>
    <n v="541"/>
    <d v="2011-01-24T00:00:00"/>
    <x v="0"/>
    <n v="0"/>
    <x v="0"/>
    <x v="16"/>
    <b v="0"/>
    <n v="1"/>
    <x v="0"/>
    <n v="0.16"/>
    <n v="0.1515"/>
    <n v="0.47"/>
    <n v="0.25369999999999998"/>
    <x v="17"/>
    <n v="66"/>
    <n v="70"/>
    <s v="Weekday"/>
    <s v="Afternoon"/>
    <s v="Low"/>
  </r>
  <r>
    <n v="542"/>
    <d v="2011-01-24T00:00:00"/>
    <x v="0"/>
    <n v="0"/>
    <x v="0"/>
    <x v="17"/>
    <b v="0"/>
    <n v="1"/>
    <x v="0"/>
    <n v="0.14000000000000001"/>
    <n v="0.1212"/>
    <n v="0.5"/>
    <n v="0.25369999999999998"/>
    <x v="15"/>
    <n v="178"/>
    <n v="184"/>
    <s v="Weekday"/>
    <s v="Afternoon"/>
    <s v="High"/>
  </r>
  <r>
    <n v="543"/>
    <d v="2011-01-24T00:00:00"/>
    <x v="0"/>
    <n v="0"/>
    <x v="0"/>
    <x v="18"/>
    <b v="0"/>
    <n v="1"/>
    <x v="0"/>
    <n v="0.14000000000000001"/>
    <n v="0.13639999999999999"/>
    <n v="0.59"/>
    <n v="0.19400000000000001"/>
    <x v="1"/>
    <n v="145"/>
    <n v="153"/>
    <s v="Weekday"/>
    <s v="Evening"/>
    <s v="High"/>
  </r>
  <r>
    <n v="544"/>
    <d v="2011-01-24T00:00:00"/>
    <x v="0"/>
    <n v="0"/>
    <x v="0"/>
    <x v="19"/>
    <b v="0"/>
    <n v="1"/>
    <x v="0"/>
    <n v="0.14000000000000001"/>
    <n v="0.1515"/>
    <n v="0.54"/>
    <n v="0.16420000000000001"/>
    <x v="2"/>
    <n v="101"/>
    <n v="106"/>
    <s v="Weekday"/>
    <s v="Evening"/>
    <s v="High"/>
  </r>
  <r>
    <n v="545"/>
    <d v="2011-01-24T00:00:00"/>
    <x v="0"/>
    <n v="0"/>
    <x v="0"/>
    <x v="20"/>
    <b v="0"/>
    <n v="1"/>
    <x v="0"/>
    <n v="0.14000000000000001"/>
    <n v="0.13639999999999999"/>
    <n v="0.59"/>
    <n v="0.19400000000000001"/>
    <x v="5"/>
    <n v="80"/>
    <n v="81"/>
    <s v="Weekday"/>
    <s v="Evening"/>
    <s v="Low"/>
  </r>
  <r>
    <n v="546"/>
    <d v="2011-01-24T00:00:00"/>
    <x v="0"/>
    <n v="0"/>
    <x v="0"/>
    <x v="21"/>
    <b v="0"/>
    <n v="1"/>
    <x v="0"/>
    <n v="0.14000000000000001"/>
    <n v="0.1515"/>
    <n v="0.63"/>
    <n v="0.16420000000000001"/>
    <x v="15"/>
    <n v="53"/>
    <n v="59"/>
    <s v="Weekday"/>
    <s v="Evening"/>
    <s v="Low"/>
  </r>
  <r>
    <n v="547"/>
    <d v="2011-01-24T00:00:00"/>
    <x v="0"/>
    <n v="0"/>
    <x v="0"/>
    <x v="22"/>
    <b v="0"/>
    <n v="1"/>
    <x v="1"/>
    <n v="0.14000000000000001"/>
    <n v="0.13639999999999999"/>
    <n v="0.63"/>
    <n v="0.22389999999999999"/>
    <x v="0"/>
    <n v="32"/>
    <n v="35"/>
    <s v="Weekday"/>
    <s v="Evening"/>
    <s v="Low"/>
  </r>
  <r>
    <n v="548"/>
    <d v="2011-01-24T00:00:00"/>
    <x v="0"/>
    <n v="0"/>
    <x v="0"/>
    <x v="23"/>
    <b v="0"/>
    <n v="1"/>
    <x v="1"/>
    <n v="0.16"/>
    <n v="0.1515"/>
    <n v="0.64"/>
    <n v="0.25369999999999998"/>
    <x v="0"/>
    <n v="21"/>
    <n v="24"/>
    <s v="Weekday"/>
    <s v="Evening"/>
    <s v="Low"/>
  </r>
  <r>
    <n v="549"/>
    <d v="2011-01-25T00:00:00"/>
    <x v="0"/>
    <n v="0"/>
    <x v="0"/>
    <x v="0"/>
    <b v="0"/>
    <n v="2"/>
    <x v="1"/>
    <n v="0.16"/>
    <n v="0.13639999999999999"/>
    <n v="0.69"/>
    <n v="0.28360000000000002"/>
    <x v="0"/>
    <n v="6"/>
    <n v="9"/>
    <s v="Weekday"/>
    <s v="Morning"/>
    <s v="Low"/>
  </r>
  <r>
    <n v="550"/>
    <d v="2011-01-25T00:00:00"/>
    <x v="0"/>
    <n v="0"/>
    <x v="0"/>
    <x v="1"/>
    <b v="0"/>
    <n v="2"/>
    <x v="1"/>
    <n v="0.16"/>
    <n v="0.16669999999999999"/>
    <n v="0.69"/>
    <n v="0.16420000000000001"/>
    <x v="3"/>
    <n v="5"/>
    <n v="5"/>
    <s v="Weekday"/>
    <s v="Morning"/>
    <s v="Low"/>
  </r>
  <r>
    <n v="551"/>
    <d v="2011-01-25T00:00:00"/>
    <x v="0"/>
    <n v="0"/>
    <x v="0"/>
    <x v="2"/>
    <b v="0"/>
    <n v="2"/>
    <x v="0"/>
    <n v="0.16"/>
    <n v="0.1515"/>
    <n v="0.69"/>
    <n v="0.22389999999999999"/>
    <x v="3"/>
    <n v="2"/>
    <n v="2"/>
    <s v="Weekday"/>
    <s v="Morning"/>
    <s v="Low"/>
  </r>
  <r>
    <n v="552"/>
    <d v="2011-01-25T00:00:00"/>
    <x v="0"/>
    <n v="0"/>
    <x v="0"/>
    <x v="4"/>
    <b v="0"/>
    <n v="2"/>
    <x v="0"/>
    <n v="0.14000000000000001"/>
    <n v="0.16669999999999999"/>
    <n v="0.74"/>
    <n v="0.1045"/>
    <x v="3"/>
    <n v="1"/>
    <n v="1"/>
    <s v="Weekday"/>
    <s v="Morning"/>
    <s v="Low"/>
  </r>
  <r>
    <n v="553"/>
    <d v="2011-01-25T00:00:00"/>
    <x v="0"/>
    <n v="0"/>
    <x v="0"/>
    <x v="5"/>
    <b v="0"/>
    <n v="2"/>
    <x v="0"/>
    <n v="0.14000000000000001"/>
    <n v="0.13639999999999999"/>
    <n v="0.74"/>
    <n v="0.22389999999999999"/>
    <x v="3"/>
    <n v="9"/>
    <n v="9"/>
    <s v="Weekday"/>
    <s v="Morning"/>
    <s v="Low"/>
  </r>
  <r>
    <n v="554"/>
    <d v="2011-01-25T00:00:00"/>
    <x v="0"/>
    <n v="0"/>
    <x v="0"/>
    <x v="6"/>
    <b v="0"/>
    <n v="2"/>
    <x v="0"/>
    <n v="0.16"/>
    <n v="0.18179999999999999"/>
    <n v="0.74"/>
    <n v="0.1045"/>
    <x v="5"/>
    <n v="35"/>
    <n v="36"/>
    <s v="Weekday"/>
    <s v="Morning"/>
    <s v="Low"/>
  </r>
  <r>
    <n v="555"/>
    <d v="2011-01-25T00:00:00"/>
    <x v="0"/>
    <n v="0"/>
    <x v="0"/>
    <x v="7"/>
    <b v="0"/>
    <n v="2"/>
    <x v="0"/>
    <n v="0.16"/>
    <n v="0.1515"/>
    <n v="0.74"/>
    <n v="0.22389999999999999"/>
    <x v="2"/>
    <n v="103"/>
    <n v="108"/>
    <s v="Weekday"/>
    <s v="Morning"/>
    <s v="High"/>
  </r>
  <r>
    <n v="556"/>
    <d v="2011-01-25T00:00:00"/>
    <x v="0"/>
    <n v="0"/>
    <x v="0"/>
    <x v="8"/>
    <b v="0"/>
    <n v="2"/>
    <x v="1"/>
    <n v="0.16"/>
    <n v="0.18179999999999999"/>
    <n v="0.74"/>
    <n v="0.1343"/>
    <x v="2"/>
    <n v="233"/>
    <n v="238"/>
    <s v="Weekday"/>
    <s v="Morning"/>
    <s v="High"/>
  </r>
  <r>
    <n v="557"/>
    <d v="2011-01-25T00:00:00"/>
    <x v="0"/>
    <n v="0"/>
    <x v="0"/>
    <x v="9"/>
    <b v="0"/>
    <n v="2"/>
    <x v="1"/>
    <n v="0.2"/>
    <n v="0.2273"/>
    <n v="0.64"/>
    <n v="8.9599999999999999E-2"/>
    <x v="22"/>
    <n v="134"/>
    <n v="144"/>
    <s v="Weekday"/>
    <s v="Morning"/>
    <s v="High"/>
  </r>
  <r>
    <n v="558"/>
    <d v="2011-01-25T00:00:00"/>
    <x v="0"/>
    <n v="0"/>
    <x v="0"/>
    <x v="10"/>
    <b v="0"/>
    <n v="2"/>
    <x v="1"/>
    <n v="0.22"/>
    <n v="0.2424"/>
    <n v="0.6"/>
    <n v="0.1045"/>
    <x v="15"/>
    <n v="49"/>
    <n v="55"/>
    <s v="Weekday"/>
    <s v="Morning"/>
    <s v="Low"/>
  </r>
  <r>
    <n v="559"/>
    <d v="2011-01-25T00:00:00"/>
    <x v="0"/>
    <n v="0"/>
    <x v="0"/>
    <x v="11"/>
    <b v="0"/>
    <n v="2"/>
    <x v="1"/>
    <n v="0.24"/>
    <n v="0.2424"/>
    <n v="0.6"/>
    <n v="0.1343"/>
    <x v="15"/>
    <n v="55"/>
    <n v="61"/>
    <s v="Weekday"/>
    <s v="Morning"/>
    <s v="Low"/>
  </r>
  <r>
    <n v="560"/>
    <d v="2011-01-25T00:00:00"/>
    <x v="0"/>
    <n v="0"/>
    <x v="0"/>
    <x v="12"/>
    <b v="0"/>
    <n v="2"/>
    <x v="1"/>
    <n v="0.26"/>
    <n v="0.28789999999999999"/>
    <n v="0.56000000000000005"/>
    <n v="8.9599999999999999E-2"/>
    <x v="27"/>
    <n v="85"/>
    <n v="106"/>
    <s v="Weekday"/>
    <s v="Afternoon"/>
    <s v="High"/>
  </r>
  <r>
    <n v="561"/>
    <d v="2011-01-25T00:00:00"/>
    <x v="0"/>
    <n v="0"/>
    <x v="0"/>
    <x v="13"/>
    <b v="0"/>
    <n v="2"/>
    <x v="1"/>
    <n v="0.26"/>
    <n v="0.2727"/>
    <n v="0.56000000000000005"/>
    <n v="0.1343"/>
    <x v="27"/>
    <n v="72"/>
    <n v="93"/>
    <s v="Weekday"/>
    <s v="Afternoon"/>
    <s v="Low"/>
  </r>
  <r>
    <n v="562"/>
    <d v="2011-01-25T00:00:00"/>
    <x v="0"/>
    <n v="0"/>
    <x v="0"/>
    <x v="14"/>
    <b v="0"/>
    <n v="2"/>
    <x v="1"/>
    <n v="0.3"/>
    <n v="0.33329999999999999"/>
    <n v="0.45"/>
    <n v="0"/>
    <x v="16"/>
    <n v="57"/>
    <n v="68"/>
    <s v="Weekday"/>
    <s v="Afternoon"/>
    <s v="Low"/>
  </r>
  <r>
    <n v="563"/>
    <d v="2011-01-25T00:00:00"/>
    <x v="0"/>
    <n v="0"/>
    <x v="0"/>
    <x v="15"/>
    <b v="0"/>
    <n v="2"/>
    <x v="1"/>
    <n v="0.32"/>
    <n v="0.34849999999999998"/>
    <n v="0.42"/>
    <n v="0"/>
    <x v="27"/>
    <n v="63"/>
    <n v="84"/>
    <s v="Weekday"/>
    <s v="Afternoon"/>
    <s v="Low"/>
  </r>
  <r>
    <n v="564"/>
    <d v="2011-01-25T00:00:00"/>
    <x v="0"/>
    <n v="0"/>
    <x v="0"/>
    <x v="16"/>
    <b v="0"/>
    <n v="2"/>
    <x v="1"/>
    <n v="0.32"/>
    <n v="0.34849999999999998"/>
    <n v="0.42"/>
    <n v="0"/>
    <x v="24"/>
    <n v="102"/>
    <n v="116"/>
    <s v="Weekday"/>
    <s v="Afternoon"/>
    <s v="High"/>
  </r>
  <r>
    <n v="565"/>
    <d v="2011-01-25T00:00:00"/>
    <x v="0"/>
    <n v="0"/>
    <x v="0"/>
    <x v="17"/>
    <b v="0"/>
    <n v="2"/>
    <x v="0"/>
    <n v="0.3"/>
    <n v="0.33329999999999999"/>
    <n v="0.45"/>
    <n v="0"/>
    <x v="24"/>
    <n v="208"/>
    <n v="222"/>
    <s v="Weekday"/>
    <s v="Afternoon"/>
    <s v="High"/>
  </r>
  <r>
    <n v="566"/>
    <d v="2011-01-25T00:00:00"/>
    <x v="0"/>
    <n v="0"/>
    <x v="0"/>
    <x v="18"/>
    <b v="0"/>
    <n v="2"/>
    <x v="1"/>
    <n v="0.3"/>
    <n v="0.31819999999999998"/>
    <n v="0.49"/>
    <n v="8.9599999999999999E-2"/>
    <x v="18"/>
    <n v="218"/>
    <n v="225"/>
    <s v="Weekday"/>
    <s v="Evening"/>
    <s v="High"/>
  </r>
  <r>
    <n v="567"/>
    <d v="2011-01-25T00:00:00"/>
    <x v="0"/>
    <n v="0"/>
    <x v="0"/>
    <x v="19"/>
    <b v="0"/>
    <n v="2"/>
    <x v="1"/>
    <n v="0.26"/>
    <n v="0.2576"/>
    <n v="0.65"/>
    <n v="0.16420000000000001"/>
    <x v="23"/>
    <n v="133"/>
    <n v="146"/>
    <s v="Weekday"/>
    <s v="Evening"/>
    <s v="High"/>
  </r>
  <r>
    <n v="568"/>
    <d v="2011-01-25T00:00:00"/>
    <x v="0"/>
    <n v="0"/>
    <x v="0"/>
    <x v="20"/>
    <b v="0"/>
    <n v="2"/>
    <x v="0"/>
    <n v="0.24"/>
    <n v="0.2273"/>
    <n v="0.65"/>
    <n v="0.19400000000000001"/>
    <x v="19"/>
    <n v="103"/>
    <n v="119"/>
    <s v="Weekday"/>
    <s v="Evening"/>
    <s v="High"/>
  </r>
  <r>
    <n v="569"/>
    <d v="2011-01-25T00:00:00"/>
    <x v="0"/>
    <n v="0"/>
    <x v="0"/>
    <x v="21"/>
    <b v="0"/>
    <n v="2"/>
    <x v="0"/>
    <n v="0.24"/>
    <n v="0.2273"/>
    <n v="0.65"/>
    <n v="0.19400000000000001"/>
    <x v="2"/>
    <n v="40"/>
    <n v="45"/>
    <s v="Weekday"/>
    <s v="Evening"/>
    <s v="Low"/>
  </r>
  <r>
    <n v="570"/>
    <d v="2011-01-25T00:00:00"/>
    <x v="0"/>
    <n v="0"/>
    <x v="0"/>
    <x v="22"/>
    <b v="0"/>
    <n v="2"/>
    <x v="0"/>
    <n v="0.22"/>
    <n v="0.2273"/>
    <n v="0.64"/>
    <n v="0.16420000000000001"/>
    <x v="17"/>
    <n v="49"/>
    <n v="53"/>
    <s v="Weekday"/>
    <s v="Evening"/>
    <s v="Low"/>
  </r>
  <r>
    <n v="571"/>
    <d v="2011-01-25T00:00:00"/>
    <x v="0"/>
    <n v="0"/>
    <x v="0"/>
    <x v="23"/>
    <b v="0"/>
    <n v="2"/>
    <x v="1"/>
    <n v="0.22"/>
    <n v="0.2273"/>
    <n v="0.64"/>
    <n v="0.16420000000000001"/>
    <x v="0"/>
    <n v="37"/>
    <n v="40"/>
    <s v="Weekday"/>
    <s v="Evening"/>
    <s v="Low"/>
  </r>
  <r>
    <n v="572"/>
    <d v="2011-01-26T00:00:00"/>
    <x v="0"/>
    <n v="0"/>
    <x v="0"/>
    <x v="0"/>
    <b v="0"/>
    <n v="3"/>
    <x v="1"/>
    <n v="0.22"/>
    <n v="0.2273"/>
    <n v="0.69"/>
    <n v="0.1343"/>
    <x v="0"/>
    <n v="14"/>
    <n v="17"/>
    <s v="Weekday"/>
    <s v="Morning"/>
    <s v="Low"/>
  </r>
  <r>
    <n v="573"/>
    <d v="2011-01-26T00:00:00"/>
    <x v="0"/>
    <n v="0"/>
    <x v="0"/>
    <x v="1"/>
    <b v="0"/>
    <n v="3"/>
    <x v="1"/>
    <n v="0.24"/>
    <n v="0.2424"/>
    <n v="0.65"/>
    <n v="0.1343"/>
    <x v="3"/>
    <n v="5"/>
    <n v="5"/>
    <s v="Weekday"/>
    <s v="Morning"/>
    <s v="Low"/>
  </r>
  <r>
    <n v="574"/>
    <d v="2011-01-26T00:00:00"/>
    <x v="0"/>
    <n v="0"/>
    <x v="0"/>
    <x v="2"/>
    <b v="0"/>
    <n v="3"/>
    <x v="2"/>
    <n v="0.22"/>
    <n v="0.2273"/>
    <n v="0.69"/>
    <n v="0.19400000000000001"/>
    <x v="0"/>
    <n v="7"/>
    <n v="10"/>
    <s v="Weekday"/>
    <s v="Morning"/>
    <s v="Low"/>
  </r>
  <r>
    <n v="575"/>
    <d v="2011-01-26T00:00:00"/>
    <x v="0"/>
    <n v="0"/>
    <x v="0"/>
    <x v="5"/>
    <b v="0"/>
    <n v="3"/>
    <x v="2"/>
    <n v="0.2"/>
    <n v="0.18179999999999999"/>
    <n v="0.86"/>
    <n v="0.28360000000000002"/>
    <x v="3"/>
    <n v="1"/>
    <n v="1"/>
    <s v="Weekday"/>
    <s v="Morning"/>
    <s v="Low"/>
  </r>
  <r>
    <n v="576"/>
    <d v="2011-01-26T00:00:00"/>
    <x v="0"/>
    <n v="0"/>
    <x v="0"/>
    <x v="6"/>
    <b v="0"/>
    <n v="3"/>
    <x v="2"/>
    <n v="0.2"/>
    <n v="0.18179999999999999"/>
    <n v="0.86"/>
    <n v="0.28360000000000002"/>
    <x v="3"/>
    <n v="8"/>
    <n v="8"/>
    <s v="Weekday"/>
    <s v="Morning"/>
    <s v="Low"/>
  </r>
  <r>
    <n v="577"/>
    <d v="2011-01-26T00:00:00"/>
    <x v="0"/>
    <n v="0"/>
    <x v="0"/>
    <x v="7"/>
    <b v="0"/>
    <n v="3"/>
    <x v="2"/>
    <n v="0.22"/>
    <n v="0.21210000000000001"/>
    <n v="0.87"/>
    <n v="0.29849999999999999"/>
    <x v="5"/>
    <n v="29"/>
    <n v="30"/>
    <s v="Weekday"/>
    <s v="Morning"/>
    <s v="Low"/>
  </r>
  <r>
    <n v="578"/>
    <d v="2011-01-26T00:00:00"/>
    <x v="0"/>
    <n v="0"/>
    <x v="0"/>
    <x v="8"/>
    <b v="0"/>
    <n v="3"/>
    <x v="2"/>
    <n v="0.22"/>
    <n v="0.21210000000000001"/>
    <n v="0.87"/>
    <n v="0.29849999999999999"/>
    <x v="0"/>
    <n v="69"/>
    <n v="72"/>
    <s v="Weekday"/>
    <s v="Morning"/>
    <s v="Low"/>
  </r>
  <r>
    <n v="579"/>
    <d v="2011-01-26T00:00:00"/>
    <x v="0"/>
    <n v="0"/>
    <x v="0"/>
    <x v="9"/>
    <b v="0"/>
    <n v="3"/>
    <x v="2"/>
    <n v="0.22"/>
    <n v="0.21210000000000001"/>
    <n v="0.87"/>
    <n v="0.29849999999999999"/>
    <x v="0"/>
    <n v="55"/>
    <n v="58"/>
    <s v="Weekday"/>
    <s v="Morning"/>
    <s v="Low"/>
  </r>
  <r>
    <n v="580"/>
    <d v="2011-01-26T00:00:00"/>
    <x v="0"/>
    <n v="0"/>
    <x v="0"/>
    <x v="10"/>
    <b v="0"/>
    <n v="3"/>
    <x v="2"/>
    <n v="0.22"/>
    <n v="0.21210000000000001"/>
    <n v="0.93"/>
    <n v="0.28360000000000002"/>
    <x v="4"/>
    <n v="26"/>
    <n v="28"/>
    <s v="Weekday"/>
    <s v="Morning"/>
    <s v="Low"/>
  </r>
  <r>
    <n v="581"/>
    <d v="2011-01-26T00:00:00"/>
    <x v="0"/>
    <n v="0"/>
    <x v="0"/>
    <x v="11"/>
    <b v="0"/>
    <n v="3"/>
    <x v="2"/>
    <n v="0.22"/>
    <n v="0.19700000000000001"/>
    <n v="0.93"/>
    <n v="0.32840000000000003"/>
    <x v="15"/>
    <n v="35"/>
    <n v="41"/>
    <s v="Weekday"/>
    <s v="Morning"/>
    <s v="Low"/>
  </r>
  <r>
    <n v="582"/>
    <d v="2011-01-26T00:00:00"/>
    <x v="0"/>
    <n v="0"/>
    <x v="0"/>
    <x v="12"/>
    <b v="0"/>
    <n v="3"/>
    <x v="2"/>
    <n v="0.22"/>
    <n v="0.19700000000000001"/>
    <n v="0.93"/>
    <n v="0.32840000000000003"/>
    <x v="18"/>
    <n v="41"/>
    <n v="48"/>
    <s v="Weekday"/>
    <s v="Afternoon"/>
    <s v="Low"/>
  </r>
  <r>
    <n v="583"/>
    <d v="2011-01-26T00:00:00"/>
    <x v="0"/>
    <n v="0"/>
    <x v="0"/>
    <x v="13"/>
    <b v="0"/>
    <n v="3"/>
    <x v="2"/>
    <n v="0.22"/>
    <n v="0.19700000000000001"/>
    <n v="0.93"/>
    <n v="0.32840000000000003"/>
    <x v="17"/>
    <n v="43"/>
    <n v="47"/>
    <s v="Weekday"/>
    <s v="Afternoon"/>
    <s v="Low"/>
  </r>
  <r>
    <n v="584"/>
    <d v="2011-01-26T00:00:00"/>
    <x v="0"/>
    <n v="0"/>
    <x v="0"/>
    <x v="14"/>
    <b v="0"/>
    <n v="3"/>
    <x v="2"/>
    <n v="0.22"/>
    <n v="0.19700000000000001"/>
    <n v="0.93"/>
    <n v="0.35820000000000002"/>
    <x v="3"/>
    <n v="36"/>
    <n v="36"/>
    <s v="Weekday"/>
    <s v="Afternoon"/>
    <s v="Low"/>
  </r>
  <r>
    <n v="585"/>
    <d v="2011-01-26T00:00:00"/>
    <x v="0"/>
    <n v="0"/>
    <x v="0"/>
    <x v="15"/>
    <b v="0"/>
    <n v="3"/>
    <x v="2"/>
    <n v="0.22"/>
    <n v="0.18179999999999999"/>
    <n v="0.93"/>
    <n v="0.4627"/>
    <x v="5"/>
    <n v="42"/>
    <n v="43"/>
    <s v="Weekday"/>
    <s v="Afternoon"/>
    <s v="Low"/>
  </r>
  <r>
    <n v="586"/>
    <d v="2011-01-26T00:00:00"/>
    <x v="0"/>
    <n v="0"/>
    <x v="0"/>
    <x v="16"/>
    <b v="0"/>
    <n v="3"/>
    <x v="3"/>
    <n v="0.22"/>
    <n v="0.19700000000000001"/>
    <n v="0.93"/>
    <n v="0.32840000000000003"/>
    <x v="5"/>
    <n v="35"/>
    <n v="36"/>
    <s v="Weekday"/>
    <s v="Afternoon"/>
    <s v="Low"/>
  </r>
  <r>
    <n v="587"/>
    <d v="2011-01-26T00:00:00"/>
    <x v="0"/>
    <n v="0"/>
    <x v="0"/>
    <x v="17"/>
    <b v="0"/>
    <n v="3"/>
    <x v="2"/>
    <n v="0.2"/>
    <n v="0.18179999999999999"/>
    <n v="0.93"/>
    <n v="0.35820000000000002"/>
    <x v="3"/>
    <n v="26"/>
    <n v="26"/>
    <s v="Weekday"/>
    <s v="Afternoon"/>
    <s v="Low"/>
  </r>
  <r>
    <n v="588"/>
    <d v="2011-01-27T00:00:00"/>
    <x v="0"/>
    <n v="0"/>
    <x v="0"/>
    <x v="16"/>
    <b v="0"/>
    <n v="4"/>
    <x v="0"/>
    <n v="0.22"/>
    <n v="0.2273"/>
    <n v="0.55000000000000004"/>
    <n v="0.19400000000000001"/>
    <x v="5"/>
    <n v="23"/>
    <n v="24"/>
    <s v="Weekday"/>
    <s v="Afternoon"/>
    <s v="Low"/>
  </r>
  <r>
    <n v="589"/>
    <d v="2011-01-27T00:00:00"/>
    <x v="0"/>
    <n v="0"/>
    <x v="0"/>
    <x v="17"/>
    <b v="0"/>
    <n v="4"/>
    <x v="0"/>
    <n v="0.22"/>
    <n v="0.2424"/>
    <n v="0.55000000000000004"/>
    <n v="0.1045"/>
    <x v="4"/>
    <n v="82"/>
    <n v="84"/>
    <s v="Weekday"/>
    <s v="Afternoon"/>
    <s v="Low"/>
  </r>
  <r>
    <n v="590"/>
    <d v="2011-01-27T00:00:00"/>
    <x v="0"/>
    <n v="0"/>
    <x v="0"/>
    <x v="18"/>
    <b v="0"/>
    <n v="4"/>
    <x v="0"/>
    <n v="0.2"/>
    <n v="0.2273"/>
    <n v="0.69"/>
    <n v="8.9599999999999999E-2"/>
    <x v="0"/>
    <n v="101"/>
    <n v="104"/>
    <s v="Weekday"/>
    <s v="Evening"/>
    <s v="High"/>
  </r>
  <r>
    <n v="591"/>
    <d v="2011-01-27T00:00:00"/>
    <x v="0"/>
    <n v="0"/>
    <x v="0"/>
    <x v="19"/>
    <b v="0"/>
    <n v="4"/>
    <x v="0"/>
    <n v="0.2"/>
    <n v="0.2273"/>
    <n v="0.69"/>
    <n v="8.9599999999999999E-2"/>
    <x v="0"/>
    <n v="76"/>
    <n v="79"/>
    <s v="Weekday"/>
    <s v="Evening"/>
    <s v="Low"/>
  </r>
  <r>
    <n v="592"/>
    <d v="2011-01-27T00:00:00"/>
    <x v="0"/>
    <n v="0"/>
    <x v="0"/>
    <x v="20"/>
    <b v="0"/>
    <n v="4"/>
    <x v="0"/>
    <n v="0.18"/>
    <n v="0.21210000000000001"/>
    <n v="0.74"/>
    <n v="8.9599999999999999E-2"/>
    <x v="17"/>
    <n v="55"/>
    <n v="59"/>
    <s v="Weekday"/>
    <s v="Evening"/>
    <s v="Low"/>
  </r>
  <r>
    <n v="593"/>
    <d v="2011-01-27T00:00:00"/>
    <x v="0"/>
    <n v="0"/>
    <x v="0"/>
    <x v="21"/>
    <b v="0"/>
    <n v="4"/>
    <x v="0"/>
    <n v="0.18"/>
    <n v="0.21210000000000001"/>
    <n v="0.74"/>
    <n v="8.9599999999999999E-2"/>
    <x v="4"/>
    <n v="36"/>
    <n v="38"/>
    <s v="Weekday"/>
    <s v="Evening"/>
    <s v="Low"/>
  </r>
  <r>
    <n v="594"/>
    <d v="2011-01-27T00:00:00"/>
    <x v="0"/>
    <n v="0"/>
    <x v="0"/>
    <x v="22"/>
    <b v="0"/>
    <n v="4"/>
    <x v="0"/>
    <n v="0.18"/>
    <n v="0.21210000000000001"/>
    <n v="0.74"/>
    <n v="8.9599999999999999E-2"/>
    <x v="3"/>
    <n v="27"/>
    <n v="27"/>
    <s v="Weekday"/>
    <s v="Evening"/>
    <s v="Low"/>
  </r>
  <r>
    <n v="595"/>
    <d v="2011-01-27T00:00:00"/>
    <x v="0"/>
    <n v="0"/>
    <x v="0"/>
    <x v="23"/>
    <b v="0"/>
    <n v="4"/>
    <x v="0"/>
    <n v="0.18"/>
    <n v="0.19700000000000001"/>
    <n v="0.8"/>
    <n v="0.16420000000000001"/>
    <x v="3"/>
    <n v="16"/>
    <n v="16"/>
    <s v="Weekday"/>
    <s v="Evening"/>
    <s v="Low"/>
  </r>
  <r>
    <n v="596"/>
    <d v="2011-01-28T00:00:00"/>
    <x v="0"/>
    <n v="0"/>
    <x v="0"/>
    <x v="0"/>
    <b v="0"/>
    <n v="5"/>
    <x v="1"/>
    <n v="0.2"/>
    <n v="0.21210000000000001"/>
    <n v="0.75"/>
    <n v="0.1343"/>
    <x v="3"/>
    <n v="9"/>
    <n v="9"/>
    <s v="Weekday"/>
    <s v="Morning"/>
    <s v="Low"/>
  </r>
  <r>
    <n v="597"/>
    <d v="2011-01-28T00:00:00"/>
    <x v="0"/>
    <n v="0"/>
    <x v="0"/>
    <x v="1"/>
    <b v="0"/>
    <n v="5"/>
    <x v="1"/>
    <n v="0.2"/>
    <n v="0.21210000000000001"/>
    <n v="0.75"/>
    <n v="0.1343"/>
    <x v="5"/>
    <n v="2"/>
    <n v="3"/>
    <s v="Weekday"/>
    <s v="Morning"/>
    <s v="Low"/>
  </r>
  <r>
    <n v="598"/>
    <d v="2011-01-28T00:00:00"/>
    <x v="0"/>
    <n v="0"/>
    <x v="0"/>
    <x v="2"/>
    <b v="0"/>
    <n v="5"/>
    <x v="1"/>
    <n v="0.2"/>
    <n v="0.21210000000000001"/>
    <n v="0.75"/>
    <n v="0.16420000000000001"/>
    <x v="3"/>
    <n v="2"/>
    <n v="2"/>
    <s v="Weekday"/>
    <s v="Morning"/>
    <s v="Low"/>
  </r>
  <r>
    <n v="599"/>
    <d v="2011-01-28T00:00:00"/>
    <x v="0"/>
    <n v="0"/>
    <x v="0"/>
    <x v="3"/>
    <b v="0"/>
    <n v="5"/>
    <x v="1"/>
    <n v="0.2"/>
    <n v="0.2273"/>
    <n v="0.75"/>
    <n v="0.1045"/>
    <x v="5"/>
    <n v="0"/>
    <n v="1"/>
    <s v="Weekday"/>
    <s v="Morning"/>
    <s v="Low"/>
  </r>
  <r>
    <n v="600"/>
    <d v="2011-01-28T00:00:00"/>
    <x v="0"/>
    <n v="0"/>
    <x v="0"/>
    <x v="5"/>
    <b v="0"/>
    <n v="5"/>
    <x v="1"/>
    <n v="0.18"/>
    <n v="0.21210000000000001"/>
    <n v="0.8"/>
    <n v="0.1045"/>
    <x v="3"/>
    <n v="4"/>
    <n v="4"/>
    <s v="Weekday"/>
    <s v="Morning"/>
    <s v="Low"/>
  </r>
  <r>
    <n v="601"/>
    <d v="2011-01-28T00:00:00"/>
    <x v="0"/>
    <n v="0"/>
    <x v="0"/>
    <x v="6"/>
    <b v="0"/>
    <n v="5"/>
    <x v="1"/>
    <n v="0.18"/>
    <n v="0.19700000000000001"/>
    <n v="0.8"/>
    <n v="0.1343"/>
    <x v="3"/>
    <n v="16"/>
    <n v="16"/>
    <s v="Weekday"/>
    <s v="Morning"/>
    <s v="Low"/>
  </r>
  <r>
    <n v="602"/>
    <d v="2011-01-28T00:00:00"/>
    <x v="0"/>
    <n v="0"/>
    <x v="0"/>
    <x v="7"/>
    <b v="0"/>
    <n v="5"/>
    <x v="1"/>
    <n v="0.16"/>
    <n v="0.19700000000000001"/>
    <n v="0.86"/>
    <n v="8.9599999999999999E-2"/>
    <x v="4"/>
    <n v="58"/>
    <n v="60"/>
    <s v="Weekday"/>
    <s v="Morning"/>
    <s v="Low"/>
  </r>
  <r>
    <n v="603"/>
    <d v="2011-01-28T00:00:00"/>
    <x v="0"/>
    <n v="0"/>
    <x v="0"/>
    <x v="8"/>
    <b v="0"/>
    <n v="5"/>
    <x v="1"/>
    <n v="0.16"/>
    <n v="0.19700000000000001"/>
    <n v="0.86"/>
    <n v="8.9599999999999999E-2"/>
    <x v="4"/>
    <n v="155"/>
    <n v="157"/>
    <s v="Weekday"/>
    <s v="Morning"/>
    <s v="High"/>
  </r>
  <r>
    <n v="604"/>
    <d v="2011-01-28T00:00:00"/>
    <x v="0"/>
    <n v="0"/>
    <x v="0"/>
    <x v="9"/>
    <b v="0"/>
    <n v="5"/>
    <x v="2"/>
    <n v="0.18"/>
    <n v="0.21210000000000001"/>
    <n v="0.86"/>
    <n v="8.9599999999999999E-2"/>
    <x v="15"/>
    <n v="95"/>
    <n v="101"/>
    <s v="Weekday"/>
    <s v="Morning"/>
    <s v="High"/>
  </r>
  <r>
    <n v="605"/>
    <d v="2011-01-28T00:00:00"/>
    <x v="0"/>
    <n v="0"/>
    <x v="0"/>
    <x v="10"/>
    <b v="0"/>
    <n v="5"/>
    <x v="2"/>
    <n v="0.18"/>
    <n v="0.21210000000000001"/>
    <n v="0.86"/>
    <n v="0.1045"/>
    <x v="3"/>
    <n v="49"/>
    <n v="49"/>
    <s v="Weekday"/>
    <s v="Morning"/>
    <s v="Low"/>
  </r>
  <r>
    <n v="606"/>
    <d v="2011-01-28T00:00:00"/>
    <x v="0"/>
    <n v="0"/>
    <x v="0"/>
    <x v="11"/>
    <b v="0"/>
    <n v="5"/>
    <x v="2"/>
    <n v="0.18"/>
    <n v="0.21210000000000001"/>
    <n v="0.93"/>
    <n v="0.1045"/>
    <x v="3"/>
    <n v="30"/>
    <n v="30"/>
    <s v="Weekday"/>
    <s v="Morning"/>
    <s v="Low"/>
  </r>
  <r>
    <n v="607"/>
    <d v="2011-01-28T00:00:00"/>
    <x v="0"/>
    <n v="0"/>
    <x v="0"/>
    <x v="12"/>
    <b v="0"/>
    <n v="5"/>
    <x v="2"/>
    <n v="0.18"/>
    <n v="0.21210000000000001"/>
    <n v="0.93"/>
    <n v="0.1045"/>
    <x v="5"/>
    <n v="28"/>
    <n v="29"/>
    <s v="Weekday"/>
    <s v="Afternoon"/>
    <s v="Low"/>
  </r>
  <r>
    <n v="608"/>
    <d v="2011-01-28T00:00:00"/>
    <x v="0"/>
    <n v="0"/>
    <x v="0"/>
    <x v="13"/>
    <b v="0"/>
    <n v="5"/>
    <x v="2"/>
    <n v="0.18"/>
    <n v="0.21210000000000001"/>
    <n v="0.93"/>
    <n v="0.1045"/>
    <x v="3"/>
    <n v="31"/>
    <n v="31"/>
    <s v="Weekday"/>
    <s v="Afternoon"/>
    <s v="Low"/>
  </r>
  <r>
    <n v="609"/>
    <d v="2011-01-28T00:00:00"/>
    <x v="0"/>
    <n v="0"/>
    <x v="0"/>
    <x v="14"/>
    <b v="0"/>
    <n v="5"/>
    <x v="2"/>
    <n v="0.22"/>
    <n v="0.2727"/>
    <n v="0.8"/>
    <n v="0"/>
    <x v="4"/>
    <n v="36"/>
    <n v="38"/>
    <s v="Weekday"/>
    <s v="Afternoon"/>
    <s v="Low"/>
  </r>
  <r>
    <n v="610"/>
    <d v="2011-01-28T00:00:00"/>
    <x v="0"/>
    <n v="0"/>
    <x v="0"/>
    <x v="15"/>
    <b v="0"/>
    <n v="5"/>
    <x v="1"/>
    <n v="0.2"/>
    <n v="0.2576"/>
    <n v="0.86"/>
    <n v="0"/>
    <x v="5"/>
    <n v="40"/>
    <n v="41"/>
    <s v="Weekday"/>
    <s v="Afternoon"/>
    <s v="Low"/>
  </r>
  <r>
    <m/>
    <m/>
    <x v="1"/>
    <m/>
    <x v="1"/>
    <x v="24"/>
    <m/>
    <m/>
    <x v="4"/>
    <m/>
    <m/>
    <m/>
    <m/>
    <x v="32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6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17" rowHeaderCaption="weathersit">
  <location ref="A3:B8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cnt" fld="15" baseField="0" baseItem="0"/>
  </dataFields>
  <chartFormats count="1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7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16" rowHeaderCaption="hr">
  <location ref="A3:B28" firstHeaderRow="1" firstDataRow="1" firstDataCol="1"/>
  <pivotFields count="19"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>
      <items count="3">
        <item x="0"/>
        <item h="1" x="1"/>
        <item t="default"/>
      </items>
    </pivotField>
    <pivotField axis="axisRow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5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 of cnt" fld="15" baseField="0" baseItem="0"/>
  </dataFields>
  <chartFormats count="2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10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hartFormat="12" rowHeaderCaption="Casual">
  <location ref="A3:B36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4">
        <item x="3"/>
        <item x="5"/>
        <item x="4"/>
        <item x="0"/>
        <item x="17"/>
        <item x="2"/>
        <item x="15"/>
        <item x="18"/>
        <item x="1"/>
        <item x="14"/>
        <item x="22"/>
        <item x="16"/>
        <item x="6"/>
        <item x="23"/>
        <item x="24"/>
        <item x="13"/>
        <item x="19"/>
        <item x="26"/>
        <item x="25"/>
        <item x="21"/>
        <item x="20"/>
        <item x="27"/>
        <item x="30"/>
        <item x="29"/>
        <item x="31"/>
        <item x="7"/>
        <item x="8"/>
        <item x="28"/>
        <item x="10"/>
        <item x="11"/>
        <item x="12"/>
        <item x="9"/>
        <item h="1" x="32"/>
        <item t="default"/>
      </items>
    </pivotField>
    <pivotField dataField="1" showAll="0"/>
    <pivotField showAll="0"/>
    <pivotField showAll="0"/>
    <pivotField showAll="0"/>
    <pivotField showAll="0"/>
  </pivotFields>
  <rowFields count="1">
    <field x="13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Sum of registered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weathersit" xr10:uid="{00000000-0013-0000-FFFF-FFFF01000000}" sourceName="weathersit">
  <pivotTables>
    <pivotTable tabId="11" name="PivotTable7"/>
  </pivotTables>
  <data>
    <tabular pivotCacheId="1">
      <items count="5">
        <i x="0" s="1"/>
        <i x="1" s="1"/>
        <i x="2" s="1"/>
        <i x="3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nth" xr10:uid="{00000000-0013-0000-FFFF-FFFF02000000}" sourceName="mnth">
  <pivotTables>
    <pivotTable tabId="11" name="PivotTable7"/>
  </pivotTables>
  <data>
    <tabular pivotCacheId="1">
      <items count="2">
        <i x="0" s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eason" xr10:uid="{00000000-0013-0000-FFFF-FFFF03000000}" sourceName="season">
  <pivotTables>
    <pivotTable tabId="11" name="PivotTable7"/>
  </pivotTables>
  <data>
    <tabular pivotCacheId="1">
      <items count="2">
        <i x="0" s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weathersit" xr10:uid="{00000000-0014-0000-FFFF-FFFF03000000}" cache="Slicer_weathersit" caption="weathersit" style="SlicerStyleDark6" rowHeight="234950"/>
  <slicer name="mnth" xr10:uid="{00000000-0014-0000-FFFF-FFFF02000000}" cache="Slicer_mnth" caption="mnth" style="SlicerStyleDark6" rowHeight="234950"/>
  <slicer name="season" xr10:uid="{00000000-0014-0000-FFFF-FFFF01000000}" cache="Slicer_season" caption="season" style="SlicerStyleDark6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E71" totalsRowShown="0">
  <autoFilter ref="A1:E71" xr:uid="{00000000-0009-0000-0100-000002000000}"/>
  <tableColumns count="5">
    <tableColumn id="1" xr3:uid="{00000000-0010-0000-0000-000001000000}" name="dteday" dataDxfId="2"/>
    <tableColumn id="2" xr3:uid="{00000000-0010-0000-0000-000002000000}" name="cnt"/>
    <tableColumn id="3" xr3:uid="{00000000-0010-0000-0000-000003000000}" name="Forecast(cnt)">
      <calculatedColumnFormula>_xlfn.FORECAST.ETS(A2,$B$2:$B$29,$A$2:$A$29,1,1)</calculatedColumnFormula>
    </tableColumn>
    <tableColumn id="4" xr3:uid="{00000000-0010-0000-0000-000004000000}" name="Lower Confidence Bound(cnt)" dataDxfId="1">
      <calculatedColumnFormula>C2-_xlfn.FORECAST.ETS.CONFINT(A2,$B$2:$B$29,$A$2:$A$29,0.95,1,1)</calculatedColumnFormula>
    </tableColumn>
    <tableColumn id="5" xr3:uid="{00000000-0010-0000-0000-000005000000}" name="Upper Confidence Bound(cnt)" dataDxfId="0">
      <calculatedColumnFormula>C2+_xlfn.FORECAST.ETS.CONFINT(A2,$B$2:$B$29,$A$2:$A$29,0.95,1,1)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S611"/>
  <sheetViews>
    <sheetView zoomScale="61" zoomScaleNormal="61" workbookViewId="0">
      <selection activeCell="G628" sqref="G628"/>
    </sheetView>
  </sheetViews>
  <sheetFormatPr defaultColWidth="12.6640625" defaultRowHeight="14.4"/>
  <sheetData>
    <row r="1" spans="1:19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2" t="s">
        <v>16</v>
      </c>
      <c r="R1" s="13" t="s">
        <v>17</v>
      </c>
      <c r="S1" s="13" t="s">
        <v>18</v>
      </c>
    </row>
    <row r="2" spans="1:19">
      <c r="A2" s="14">
        <v>1</v>
      </c>
      <c r="B2" s="15">
        <v>40544</v>
      </c>
      <c r="C2" s="14">
        <v>1</v>
      </c>
      <c r="D2" s="14">
        <v>0</v>
      </c>
      <c r="E2" s="14">
        <v>1</v>
      </c>
      <c r="F2" s="14">
        <v>0</v>
      </c>
      <c r="G2" s="14" t="b">
        <v>0</v>
      </c>
      <c r="H2" s="14">
        <v>6</v>
      </c>
      <c r="I2" s="14">
        <v>1</v>
      </c>
      <c r="J2" s="14">
        <v>0.24</v>
      </c>
      <c r="K2">
        <f>VLOOKUP(A2,[1]dataset_2!B:H,2,FALSE)</f>
        <v>0.28789999999999999</v>
      </c>
      <c r="L2">
        <f>VLOOKUP(A2,[1]dataset_2!B:H,3,FALSE)</f>
        <v>0.81</v>
      </c>
      <c r="M2">
        <f>VLOOKUP(A2,[1]dataset_2!B:H,4,FALSE)</f>
        <v>0</v>
      </c>
      <c r="N2">
        <f>VLOOKUP(A2,[1]dataset_2!B:H,5,FALSE)</f>
        <v>3</v>
      </c>
      <c r="O2">
        <f>VLOOKUP(A2,[1]dataset_2!B:H,6,FALSE)</f>
        <v>13</v>
      </c>
      <c r="P2">
        <f>VLOOKUP(A2,[1]dataset_2!B:H,7,FALSE)</f>
        <v>16</v>
      </c>
      <c r="Q2" t="str">
        <f>IF(OR(H2=0,H2=6),"Weekend","Weekday")</f>
        <v>Weekend</v>
      </c>
      <c r="R2" t="str">
        <f>IF(F2&lt;12,"Morning",IF(F2&lt;18,"Afternoon","Evening"))</f>
        <v>Morning</v>
      </c>
      <c r="S2" t="str">
        <f>IF(P2&gt;100,"High","Low")</f>
        <v>Low</v>
      </c>
    </row>
    <row r="3" spans="1:19">
      <c r="A3" s="14">
        <v>2</v>
      </c>
      <c r="B3" s="15">
        <v>40544</v>
      </c>
      <c r="C3" s="14">
        <v>1</v>
      </c>
      <c r="D3" s="14">
        <v>0</v>
      </c>
      <c r="E3" s="14">
        <v>1</v>
      </c>
      <c r="F3" s="14">
        <v>1</v>
      </c>
      <c r="G3" s="14" t="b">
        <v>0</v>
      </c>
      <c r="H3" s="14">
        <v>6</v>
      </c>
      <c r="I3" s="14">
        <v>1</v>
      </c>
      <c r="J3" s="14">
        <v>0.22</v>
      </c>
      <c r="K3">
        <f>VLOOKUP(A3,[1]dataset_2!B:H,2,FALSE)</f>
        <v>0.2727</v>
      </c>
      <c r="L3">
        <f>VLOOKUP(A3,[1]dataset_2!B:H,3,FALSE)</f>
        <v>0.8</v>
      </c>
      <c r="M3">
        <f>VLOOKUP(A3,[1]dataset_2!B:H,4,FALSE)</f>
        <v>0</v>
      </c>
      <c r="N3">
        <f>VLOOKUP(A3,[1]dataset_2!B:H,5,FALSE)</f>
        <v>8</v>
      </c>
      <c r="O3">
        <f>VLOOKUP(A3,[1]dataset_2!B:H,6,FALSE)</f>
        <v>32</v>
      </c>
      <c r="P3">
        <f>VLOOKUP(A3,[1]dataset_2!B:H,7,FALSE)</f>
        <v>40</v>
      </c>
      <c r="Q3" t="str">
        <f t="shared" ref="Q3:Q66" si="0">IF(OR(H3=0,H3=6),"Weekend","Weekday")</f>
        <v>Weekend</v>
      </c>
      <c r="R3" t="str">
        <f t="shared" ref="R3:R66" si="1">IF(F3&lt;12,"Morning",IF(F3&lt;18,"Afternoon","Evening"))</f>
        <v>Morning</v>
      </c>
      <c r="S3" t="str">
        <f t="shared" ref="S3:S66" si="2">IF(P3&gt;100,"High","Low")</f>
        <v>Low</v>
      </c>
    </row>
    <row r="4" spans="1:19">
      <c r="A4" s="14">
        <v>3</v>
      </c>
      <c r="B4" s="15">
        <v>40544</v>
      </c>
      <c r="C4" s="14">
        <v>1</v>
      </c>
      <c r="D4" s="14">
        <v>0</v>
      </c>
      <c r="E4" s="14">
        <v>1</v>
      </c>
      <c r="F4" s="14">
        <v>2</v>
      </c>
      <c r="G4" s="14" t="b">
        <v>0</v>
      </c>
      <c r="H4" s="14">
        <v>6</v>
      </c>
      <c r="I4" s="14">
        <v>1</v>
      </c>
      <c r="J4" s="14">
        <v>0.22</v>
      </c>
      <c r="K4">
        <f>VLOOKUP(A4,[1]dataset_2!B:H,2,FALSE)</f>
        <v>0.2727</v>
      </c>
      <c r="L4">
        <f>VLOOKUP(A4,[1]dataset_2!B:H,3,FALSE)</f>
        <v>0.8</v>
      </c>
      <c r="M4">
        <f>VLOOKUP(A4,[1]dataset_2!B:H,4,FALSE)</f>
        <v>0</v>
      </c>
      <c r="N4">
        <f>VLOOKUP(A4,[1]dataset_2!B:H,5,FALSE)</f>
        <v>5</v>
      </c>
      <c r="O4">
        <f>VLOOKUP(A4,[1]dataset_2!B:H,6,FALSE)</f>
        <v>27</v>
      </c>
      <c r="P4">
        <f>VLOOKUP(A4,[1]dataset_2!B:H,7,FALSE)</f>
        <v>32</v>
      </c>
      <c r="Q4" t="str">
        <f t="shared" si="0"/>
        <v>Weekend</v>
      </c>
      <c r="R4" t="str">
        <f t="shared" si="1"/>
        <v>Morning</v>
      </c>
      <c r="S4" t="str">
        <f t="shared" si="2"/>
        <v>Low</v>
      </c>
    </row>
    <row r="5" spans="1:19">
      <c r="A5" s="14">
        <v>4</v>
      </c>
      <c r="B5" s="15">
        <v>40544</v>
      </c>
      <c r="C5" s="14">
        <v>1</v>
      </c>
      <c r="D5" s="14">
        <v>0</v>
      </c>
      <c r="E5" s="14">
        <v>1</v>
      </c>
      <c r="F5" s="14">
        <v>3</v>
      </c>
      <c r="G5" s="14" t="b">
        <v>0</v>
      </c>
      <c r="H5" s="14">
        <v>6</v>
      </c>
      <c r="I5" s="14">
        <v>1</v>
      </c>
      <c r="J5" s="14">
        <v>0.24</v>
      </c>
      <c r="K5">
        <f>VLOOKUP(A5,[1]dataset_2!B:H,2,FALSE)</f>
        <v>0.28789999999999999</v>
      </c>
      <c r="L5">
        <f>VLOOKUP(A5,[1]dataset_2!B:H,3,FALSE)</f>
        <v>0.75</v>
      </c>
      <c r="M5">
        <f>VLOOKUP(A5,[1]dataset_2!B:H,4,FALSE)</f>
        <v>0</v>
      </c>
      <c r="N5">
        <f>VLOOKUP(A5,[1]dataset_2!B:H,5,FALSE)</f>
        <v>3</v>
      </c>
      <c r="O5">
        <f>VLOOKUP(A5,[1]dataset_2!B:H,6,FALSE)</f>
        <v>10</v>
      </c>
      <c r="P5">
        <f>VLOOKUP(A5,[1]dataset_2!B:H,7,FALSE)</f>
        <v>13</v>
      </c>
      <c r="Q5" t="str">
        <f t="shared" si="0"/>
        <v>Weekend</v>
      </c>
      <c r="R5" t="str">
        <f t="shared" si="1"/>
        <v>Morning</v>
      </c>
      <c r="S5" t="str">
        <f t="shared" si="2"/>
        <v>Low</v>
      </c>
    </row>
    <row r="6" spans="1:19">
      <c r="A6" s="14">
        <v>5</v>
      </c>
      <c r="B6" s="15">
        <v>40544</v>
      </c>
      <c r="C6" s="14">
        <v>1</v>
      </c>
      <c r="D6" s="14">
        <v>0</v>
      </c>
      <c r="E6" s="14">
        <v>1</v>
      </c>
      <c r="F6" s="14">
        <v>4</v>
      </c>
      <c r="G6" s="14" t="b">
        <v>0</v>
      </c>
      <c r="H6" s="14">
        <v>6</v>
      </c>
      <c r="I6" s="14">
        <v>1</v>
      </c>
      <c r="J6" s="14">
        <v>0.24</v>
      </c>
      <c r="K6">
        <f>VLOOKUP(A6,[1]dataset_2!B:H,2,FALSE)</f>
        <v>0.28789999999999999</v>
      </c>
      <c r="L6">
        <f>VLOOKUP(A6,[1]dataset_2!B:H,3,FALSE)</f>
        <v>0.75</v>
      </c>
      <c r="M6">
        <f>VLOOKUP(A6,[1]dataset_2!B:H,4,FALSE)</f>
        <v>0</v>
      </c>
      <c r="N6">
        <f>VLOOKUP(A6,[1]dataset_2!B:H,5,FALSE)</f>
        <v>0</v>
      </c>
      <c r="O6">
        <f>VLOOKUP(A6,[1]dataset_2!B:H,6,FALSE)</f>
        <v>1</v>
      </c>
      <c r="P6">
        <f>VLOOKUP(A6,[1]dataset_2!B:H,7,FALSE)</f>
        <v>1</v>
      </c>
      <c r="Q6" t="str">
        <f t="shared" si="0"/>
        <v>Weekend</v>
      </c>
      <c r="R6" t="str">
        <f t="shared" si="1"/>
        <v>Morning</v>
      </c>
      <c r="S6" t="str">
        <f t="shared" si="2"/>
        <v>Low</v>
      </c>
    </row>
    <row r="7" spans="1:19">
      <c r="A7" s="14">
        <v>6</v>
      </c>
      <c r="B7" s="15">
        <v>40544</v>
      </c>
      <c r="C7" s="14">
        <v>1</v>
      </c>
      <c r="D7" s="14">
        <v>0</v>
      </c>
      <c r="E7" s="14">
        <v>1</v>
      </c>
      <c r="F7" s="14">
        <v>5</v>
      </c>
      <c r="G7" s="14" t="b">
        <v>0</v>
      </c>
      <c r="H7" s="14">
        <v>6</v>
      </c>
      <c r="I7" s="14">
        <v>2</v>
      </c>
      <c r="J7" s="14">
        <v>0.24</v>
      </c>
      <c r="K7">
        <f>VLOOKUP(A7,[1]dataset_2!B:H,2,FALSE)</f>
        <v>0.2576</v>
      </c>
      <c r="L7">
        <f>VLOOKUP(A7,[1]dataset_2!B:H,3,FALSE)</f>
        <v>0.75</v>
      </c>
      <c r="M7">
        <f>VLOOKUP(A7,[1]dataset_2!B:H,4,FALSE)</f>
        <v>8.9599999999999999E-2</v>
      </c>
      <c r="N7">
        <f>VLOOKUP(A7,[1]dataset_2!B:H,5,FALSE)</f>
        <v>0</v>
      </c>
      <c r="O7">
        <f>VLOOKUP(A7,[1]dataset_2!B:H,6,FALSE)</f>
        <v>1</v>
      </c>
      <c r="P7">
        <f>VLOOKUP(A7,[1]dataset_2!B:H,7,FALSE)</f>
        <v>1</v>
      </c>
      <c r="Q7" t="str">
        <f t="shared" si="0"/>
        <v>Weekend</v>
      </c>
      <c r="R7" t="str">
        <f t="shared" si="1"/>
        <v>Morning</v>
      </c>
      <c r="S7" t="str">
        <f t="shared" si="2"/>
        <v>Low</v>
      </c>
    </row>
    <row r="8" spans="1:19">
      <c r="A8" s="14">
        <v>7</v>
      </c>
      <c r="B8" s="15">
        <v>40544</v>
      </c>
      <c r="C8" s="14">
        <v>1</v>
      </c>
      <c r="D8" s="14">
        <v>0</v>
      </c>
      <c r="E8" s="14">
        <v>1</v>
      </c>
      <c r="F8" s="14">
        <v>6</v>
      </c>
      <c r="G8" s="14" t="b">
        <v>0</v>
      </c>
      <c r="H8" s="14">
        <v>6</v>
      </c>
      <c r="I8" s="14">
        <v>1</v>
      </c>
      <c r="J8" s="14">
        <v>0.22</v>
      </c>
      <c r="K8">
        <f>VLOOKUP(A8,[1]dataset_2!B:H,2,FALSE)</f>
        <v>0.2727</v>
      </c>
      <c r="L8">
        <f>VLOOKUP(A8,[1]dataset_2!B:H,3,FALSE)</f>
        <v>0.8</v>
      </c>
      <c r="M8">
        <f>VLOOKUP(A8,[1]dataset_2!B:H,4,FALSE)</f>
        <v>0</v>
      </c>
      <c r="N8">
        <f>VLOOKUP(A8,[1]dataset_2!B:H,5,FALSE)</f>
        <v>2</v>
      </c>
      <c r="O8">
        <f>VLOOKUP(A8,[1]dataset_2!B:H,6,FALSE)</f>
        <v>0</v>
      </c>
      <c r="P8">
        <f>VLOOKUP(A8,[1]dataset_2!B:H,7,FALSE)</f>
        <v>2</v>
      </c>
      <c r="Q8" t="str">
        <f t="shared" si="0"/>
        <v>Weekend</v>
      </c>
      <c r="R8" t="str">
        <f t="shared" si="1"/>
        <v>Morning</v>
      </c>
      <c r="S8" t="str">
        <f t="shared" si="2"/>
        <v>Low</v>
      </c>
    </row>
    <row r="9" spans="1:19">
      <c r="A9" s="14">
        <v>8</v>
      </c>
      <c r="B9" s="15">
        <v>40544</v>
      </c>
      <c r="C9" s="14">
        <v>1</v>
      </c>
      <c r="D9" s="14">
        <v>0</v>
      </c>
      <c r="E9" s="14">
        <v>1</v>
      </c>
      <c r="F9" s="14">
        <v>7</v>
      </c>
      <c r="G9" s="14" t="b">
        <v>0</v>
      </c>
      <c r="H9" s="14">
        <v>6</v>
      </c>
      <c r="I9" s="14">
        <v>1</v>
      </c>
      <c r="J9" s="14">
        <v>0.2</v>
      </c>
      <c r="K9">
        <f>VLOOKUP(A9,[1]dataset_2!B:H,2,FALSE)</f>
        <v>0.2576</v>
      </c>
      <c r="L9">
        <f>VLOOKUP(A9,[1]dataset_2!B:H,3,FALSE)</f>
        <v>0.86</v>
      </c>
      <c r="M9">
        <f>VLOOKUP(A9,[1]dataset_2!B:H,4,FALSE)</f>
        <v>0</v>
      </c>
      <c r="N9">
        <f>VLOOKUP(A9,[1]dataset_2!B:H,5,FALSE)</f>
        <v>1</v>
      </c>
      <c r="O9">
        <f>VLOOKUP(A9,[1]dataset_2!B:H,6,FALSE)</f>
        <v>2</v>
      </c>
      <c r="P9">
        <f>VLOOKUP(A9,[1]dataset_2!B:H,7,FALSE)</f>
        <v>3</v>
      </c>
      <c r="Q9" t="str">
        <f t="shared" si="0"/>
        <v>Weekend</v>
      </c>
      <c r="R9" t="str">
        <f t="shared" si="1"/>
        <v>Morning</v>
      </c>
      <c r="S9" t="str">
        <f t="shared" si="2"/>
        <v>Low</v>
      </c>
    </row>
    <row r="10" spans="1:19">
      <c r="A10" s="14">
        <v>9</v>
      </c>
      <c r="B10" s="15">
        <v>40544</v>
      </c>
      <c r="C10" s="14">
        <v>1</v>
      </c>
      <c r="D10" s="14">
        <v>0</v>
      </c>
      <c r="E10" s="14">
        <v>1</v>
      </c>
      <c r="F10" s="14">
        <v>8</v>
      </c>
      <c r="G10" s="14" t="b">
        <v>0</v>
      </c>
      <c r="H10" s="14">
        <v>6</v>
      </c>
      <c r="I10" s="14">
        <v>1</v>
      </c>
      <c r="J10" s="14">
        <v>0.24</v>
      </c>
      <c r="K10">
        <f>VLOOKUP(A10,[1]dataset_2!B:H,2,FALSE)</f>
        <v>0</v>
      </c>
      <c r="L10">
        <f>VLOOKUP(A10,[1]dataset_2!B:H,3,FALSE)</f>
        <v>0.75</v>
      </c>
      <c r="M10">
        <f>VLOOKUP(A10,[1]dataset_2!B:H,4,FALSE)</f>
        <v>0</v>
      </c>
      <c r="N10">
        <f>VLOOKUP(A10,[1]dataset_2!B:H,5,FALSE)</f>
        <v>1</v>
      </c>
      <c r="O10">
        <f>VLOOKUP(A10,[1]dataset_2!B:H,6,FALSE)</f>
        <v>7</v>
      </c>
      <c r="P10">
        <f>VLOOKUP(A10,[1]dataset_2!B:H,7,FALSE)</f>
        <v>8</v>
      </c>
      <c r="Q10" t="str">
        <f t="shared" si="0"/>
        <v>Weekend</v>
      </c>
      <c r="R10" t="str">
        <f t="shared" si="1"/>
        <v>Morning</v>
      </c>
      <c r="S10" t="str">
        <f t="shared" si="2"/>
        <v>Low</v>
      </c>
    </row>
    <row r="11" spans="1:19">
      <c r="A11" s="14">
        <v>10</v>
      </c>
      <c r="B11" s="15">
        <v>40544</v>
      </c>
      <c r="C11" s="14">
        <v>1</v>
      </c>
      <c r="D11" s="14">
        <v>0</v>
      </c>
      <c r="E11" s="14">
        <v>1</v>
      </c>
      <c r="F11" s="14">
        <v>9</v>
      </c>
      <c r="G11" s="14" t="b">
        <v>0</v>
      </c>
      <c r="H11" s="14">
        <v>6</v>
      </c>
      <c r="I11" s="14">
        <v>1</v>
      </c>
      <c r="J11" s="14">
        <v>0.32</v>
      </c>
      <c r="K11">
        <f>VLOOKUP(A11,[1]dataset_2!B:H,2,FALSE)</f>
        <v>0.34849999999999998</v>
      </c>
      <c r="L11">
        <f>VLOOKUP(A11,[1]dataset_2!B:H,3,FALSE)</f>
        <v>0.76</v>
      </c>
      <c r="M11">
        <f>VLOOKUP(A11,[1]dataset_2!B:H,4,FALSE)</f>
        <v>0</v>
      </c>
      <c r="N11">
        <f>VLOOKUP(A11,[1]dataset_2!B:H,5,FALSE)</f>
        <v>8</v>
      </c>
      <c r="O11">
        <f>VLOOKUP(A11,[1]dataset_2!B:H,6,FALSE)</f>
        <v>6</v>
      </c>
      <c r="P11">
        <f>VLOOKUP(A11,[1]dataset_2!B:H,7,FALSE)</f>
        <v>14</v>
      </c>
      <c r="Q11" t="str">
        <f t="shared" si="0"/>
        <v>Weekend</v>
      </c>
      <c r="R11" t="str">
        <f t="shared" si="1"/>
        <v>Morning</v>
      </c>
      <c r="S11" t="str">
        <f t="shared" si="2"/>
        <v>Low</v>
      </c>
    </row>
    <row r="12" spans="1:19">
      <c r="A12" s="14">
        <v>11</v>
      </c>
      <c r="B12" s="15">
        <v>40544</v>
      </c>
      <c r="C12" s="14">
        <v>1</v>
      </c>
      <c r="D12" s="14">
        <v>0</v>
      </c>
      <c r="E12" s="14">
        <v>1</v>
      </c>
      <c r="F12" s="14">
        <v>10</v>
      </c>
      <c r="G12" s="14" t="b">
        <v>0</v>
      </c>
      <c r="H12" s="14">
        <v>6</v>
      </c>
      <c r="I12" s="14">
        <v>1</v>
      </c>
      <c r="J12" s="14">
        <v>0.38</v>
      </c>
      <c r="K12">
        <f>VLOOKUP(A12,[1]dataset_2!B:H,2,FALSE)</f>
        <v>0.39389999999999997</v>
      </c>
      <c r="L12">
        <f>VLOOKUP(A12,[1]dataset_2!B:H,3,FALSE)</f>
        <v>0.76</v>
      </c>
      <c r="M12">
        <f>VLOOKUP(A12,[1]dataset_2!B:H,4,FALSE)</f>
        <v>0.25369999999999998</v>
      </c>
      <c r="N12">
        <f>VLOOKUP(A12,[1]dataset_2!B:H,5,FALSE)</f>
        <v>12</v>
      </c>
      <c r="O12">
        <f>VLOOKUP(A12,[1]dataset_2!B:H,6,FALSE)</f>
        <v>24</v>
      </c>
      <c r="P12">
        <f>VLOOKUP(A12,[1]dataset_2!B:H,7,FALSE)</f>
        <v>36</v>
      </c>
      <c r="Q12" t="str">
        <f t="shared" si="0"/>
        <v>Weekend</v>
      </c>
      <c r="R12" t="str">
        <f t="shared" si="1"/>
        <v>Morning</v>
      </c>
      <c r="S12" t="str">
        <f t="shared" si="2"/>
        <v>Low</v>
      </c>
    </row>
    <row r="13" spans="1:19">
      <c r="A13" s="14">
        <v>12</v>
      </c>
      <c r="B13" s="15">
        <v>40544</v>
      </c>
      <c r="C13" s="14">
        <v>1</v>
      </c>
      <c r="D13" s="14">
        <v>0</v>
      </c>
      <c r="E13" s="14">
        <v>1</v>
      </c>
      <c r="F13" s="14">
        <v>11</v>
      </c>
      <c r="G13" s="14" t="b">
        <v>0</v>
      </c>
      <c r="H13" s="14">
        <v>6</v>
      </c>
      <c r="I13" s="14">
        <v>1</v>
      </c>
      <c r="J13" s="14">
        <v>0.36</v>
      </c>
      <c r="K13">
        <f>VLOOKUP(A13,[1]dataset_2!B:H,2,FALSE)</f>
        <v>0.33329999999999999</v>
      </c>
      <c r="L13">
        <f>VLOOKUP(A13,[1]dataset_2!B:H,3,FALSE)</f>
        <v>0.81</v>
      </c>
      <c r="M13">
        <f>VLOOKUP(A13,[1]dataset_2!B:H,4,FALSE)</f>
        <v>0.28360000000000002</v>
      </c>
      <c r="N13">
        <f>VLOOKUP(A13,[1]dataset_2!B:H,5,FALSE)</f>
        <v>26</v>
      </c>
      <c r="O13">
        <f>VLOOKUP(A13,[1]dataset_2!B:H,6,FALSE)</f>
        <v>30</v>
      </c>
      <c r="P13">
        <f>VLOOKUP(A13,[1]dataset_2!B:H,7,FALSE)</f>
        <v>56</v>
      </c>
      <c r="Q13" t="str">
        <f t="shared" si="0"/>
        <v>Weekend</v>
      </c>
      <c r="R13" t="str">
        <f t="shared" si="1"/>
        <v>Morning</v>
      </c>
      <c r="S13" t="str">
        <f t="shared" si="2"/>
        <v>Low</v>
      </c>
    </row>
    <row r="14" spans="1:19">
      <c r="A14" s="14">
        <v>13</v>
      </c>
      <c r="B14" s="15">
        <v>40544</v>
      </c>
      <c r="C14" s="14">
        <v>1</v>
      </c>
      <c r="D14" s="14">
        <v>0</v>
      </c>
      <c r="E14" s="14">
        <v>1</v>
      </c>
      <c r="F14" s="14">
        <v>12</v>
      </c>
      <c r="G14" s="14" t="b">
        <v>0</v>
      </c>
      <c r="H14" s="14">
        <v>6</v>
      </c>
      <c r="I14" s="14">
        <v>1</v>
      </c>
      <c r="J14" s="14">
        <v>0.42</v>
      </c>
      <c r="K14">
        <f>VLOOKUP(A14,[1]dataset_2!B:H,2,FALSE)</f>
        <v>0.42420000000000002</v>
      </c>
      <c r="L14">
        <f>VLOOKUP(A14,[1]dataset_2!B:H,3,FALSE)</f>
        <v>0.77</v>
      </c>
      <c r="M14">
        <f>VLOOKUP(A14,[1]dataset_2!B:H,4,FALSE)</f>
        <v>0.28360000000000002</v>
      </c>
      <c r="N14">
        <f>VLOOKUP(A14,[1]dataset_2!B:H,5,FALSE)</f>
        <v>29</v>
      </c>
      <c r="O14">
        <f>VLOOKUP(A14,[1]dataset_2!B:H,6,FALSE)</f>
        <v>55</v>
      </c>
      <c r="P14">
        <f>VLOOKUP(A14,[1]dataset_2!B:H,7,FALSE)</f>
        <v>84</v>
      </c>
      <c r="Q14" t="str">
        <f t="shared" si="0"/>
        <v>Weekend</v>
      </c>
      <c r="R14" t="str">
        <f t="shared" si="1"/>
        <v>Afternoon</v>
      </c>
      <c r="S14" t="str">
        <f t="shared" si="2"/>
        <v>Low</v>
      </c>
    </row>
    <row r="15" spans="1:19">
      <c r="A15" s="14">
        <v>14</v>
      </c>
      <c r="B15" s="15">
        <v>40544</v>
      </c>
      <c r="C15" s="14">
        <v>1</v>
      </c>
      <c r="D15" s="14">
        <v>0</v>
      </c>
      <c r="E15" s="14">
        <v>1</v>
      </c>
      <c r="F15" s="14">
        <v>13</v>
      </c>
      <c r="G15" s="14" t="b">
        <v>0</v>
      </c>
      <c r="H15" s="14">
        <v>6</v>
      </c>
      <c r="I15" s="14">
        <v>2</v>
      </c>
      <c r="J15" s="14">
        <v>0.46</v>
      </c>
      <c r="K15">
        <f>VLOOKUP(A15,[1]dataset_2!B:H,2,FALSE)</f>
        <v>0.45450000000000002</v>
      </c>
      <c r="L15">
        <f>VLOOKUP(A15,[1]dataset_2!B:H,3,FALSE)</f>
        <v>0.72</v>
      </c>
      <c r="M15">
        <f>VLOOKUP(A15,[1]dataset_2!B:H,4,FALSE)</f>
        <v>0.29849999999999999</v>
      </c>
      <c r="N15">
        <f>VLOOKUP(A15,[1]dataset_2!B:H,5,FALSE)</f>
        <v>47</v>
      </c>
      <c r="O15">
        <f>VLOOKUP(A15,[1]dataset_2!B:H,6,FALSE)</f>
        <v>47</v>
      </c>
      <c r="P15">
        <f>VLOOKUP(A15,[1]dataset_2!B:H,7,FALSE)</f>
        <v>94</v>
      </c>
      <c r="Q15" t="str">
        <f t="shared" si="0"/>
        <v>Weekend</v>
      </c>
      <c r="R15" t="str">
        <f t="shared" si="1"/>
        <v>Afternoon</v>
      </c>
      <c r="S15" t="str">
        <f t="shared" si="2"/>
        <v>Low</v>
      </c>
    </row>
    <row r="16" spans="1:19">
      <c r="A16" s="14">
        <v>15</v>
      </c>
      <c r="B16" s="15">
        <v>40544</v>
      </c>
      <c r="C16" s="14">
        <v>1</v>
      </c>
      <c r="D16" s="14">
        <v>0</v>
      </c>
      <c r="E16" s="14">
        <v>1</v>
      </c>
      <c r="F16" s="14">
        <v>14</v>
      </c>
      <c r="G16" s="14" t="b">
        <v>0</v>
      </c>
      <c r="H16" s="14">
        <v>6</v>
      </c>
      <c r="I16" s="14">
        <v>2</v>
      </c>
      <c r="J16" s="14">
        <v>0.46</v>
      </c>
      <c r="K16">
        <f>VLOOKUP(A16,[1]dataset_2!B:H,2,FALSE)</f>
        <v>0.45450000000000002</v>
      </c>
      <c r="L16">
        <f>VLOOKUP(A16,[1]dataset_2!B:H,3,FALSE)</f>
        <v>0.72</v>
      </c>
      <c r="M16">
        <f>VLOOKUP(A16,[1]dataset_2!B:H,4,FALSE)</f>
        <v>0.28360000000000002</v>
      </c>
      <c r="N16">
        <f>VLOOKUP(A16,[1]dataset_2!B:H,5,FALSE)</f>
        <v>35</v>
      </c>
      <c r="O16">
        <f>VLOOKUP(A16,[1]dataset_2!B:H,6,FALSE)</f>
        <v>71</v>
      </c>
      <c r="P16">
        <f>VLOOKUP(A16,[1]dataset_2!B:H,7,FALSE)</f>
        <v>106</v>
      </c>
      <c r="Q16" t="str">
        <f t="shared" si="0"/>
        <v>Weekend</v>
      </c>
      <c r="R16" t="str">
        <f t="shared" si="1"/>
        <v>Afternoon</v>
      </c>
      <c r="S16" t="str">
        <f t="shared" si="2"/>
        <v>High</v>
      </c>
    </row>
    <row r="17" spans="1:19">
      <c r="A17" s="14">
        <v>16</v>
      </c>
      <c r="B17" s="15">
        <v>40544</v>
      </c>
      <c r="C17" s="14">
        <v>1</v>
      </c>
      <c r="D17" s="14">
        <v>0</v>
      </c>
      <c r="E17" s="14">
        <v>1</v>
      </c>
      <c r="F17" s="14">
        <v>15</v>
      </c>
      <c r="G17" s="14" t="b">
        <v>0</v>
      </c>
      <c r="H17" s="14">
        <v>6</v>
      </c>
      <c r="I17" s="14">
        <v>2</v>
      </c>
      <c r="J17" s="14">
        <v>0.44</v>
      </c>
      <c r="K17">
        <f>VLOOKUP(A17,[1]dataset_2!B:H,2,FALSE)</f>
        <v>0.43940000000000001</v>
      </c>
      <c r="L17">
        <f>VLOOKUP(A17,[1]dataset_2!B:H,3,FALSE)</f>
        <v>0.77</v>
      </c>
      <c r="M17">
        <f>VLOOKUP(A17,[1]dataset_2!B:H,4,FALSE)</f>
        <v>0.29849999999999999</v>
      </c>
      <c r="N17">
        <f>VLOOKUP(A17,[1]dataset_2!B:H,5,FALSE)</f>
        <v>40</v>
      </c>
      <c r="O17">
        <f>VLOOKUP(A17,[1]dataset_2!B:H,6,FALSE)</f>
        <v>70</v>
      </c>
      <c r="P17">
        <f>VLOOKUP(A17,[1]dataset_2!B:H,7,FALSE)</f>
        <v>110</v>
      </c>
      <c r="Q17" t="str">
        <f t="shared" si="0"/>
        <v>Weekend</v>
      </c>
      <c r="R17" t="str">
        <f t="shared" si="1"/>
        <v>Afternoon</v>
      </c>
      <c r="S17" t="str">
        <f t="shared" si="2"/>
        <v>High</v>
      </c>
    </row>
    <row r="18" spans="1:19">
      <c r="A18" s="14">
        <v>17</v>
      </c>
      <c r="B18" s="15">
        <v>40544</v>
      </c>
      <c r="C18" s="14">
        <v>1</v>
      </c>
      <c r="D18" s="14">
        <v>0</v>
      </c>
      <c r="E18" s="14">
        <v>1</v>
      </c>
      <c r="F18" s="14">
        <v>16</v>
      </c>
      <c r="G18" s="14" t="b">
        <v>0</v>
      </c>
      <c r="H18" s="14">
        <v>6</v>
      </c>
      <c r="I18" s="14">
        <v>2</v>
      </c>
      <c r="J18" s="14">
        <v>0.42</v>
      </c>
      <c r="K18">
        <f>VLOOKUP(A18,[1]dataset_2!B:H,2,FALSE)</f>
        <v>0.42420000000000002</v>
      </c>
      <c r="L18">
        <f>VLOOKUP(A18,[1]dataset_2!B:H,3,FALSE)</f>
        <v>0.82</v>
      </c>
      <c r="M18">
        <f>VLOOKUP(A18,[1]dataset_2!B:H,4,FALSE)</f>
        <v>0.29849999999999999</v>
      </c>
      <c r="N18">
        <f>VLOOKUP(A18,[1]dataset_2!B:H,5,FALSE)</f>
        <v>41</v>
      </c>
      <c r="O18">
        <f>VLOOKUP(A18,[1]dataset_2!B:H,6,FALSE)</f>
        <v>52</v>
      </c>
      <c r="P18">
        <f>VLOOKUP(A18,[1]dataset_2!B:H,7,FALSE)</f>
        <v>93</v>
      </c>
      <c r="Q18" t="str">
        <f t="shared" si="0"/>
        <v>Weekend</v>
      </c>
      <c r="R18" t="str">
        <f t="shared" si="1"/>
        <v>Afternoon</v>
      </c>
      <c r="S18" t="str">
        <f t="shared" si="2"/>
        <v>Low</v>
      </c>
    </row>
    <row r="19" spans="1:19">
      <c r="A19" s="14">
        <v>18</v>
      </c>
      <c r="B19" s="15">
        <v>40544</v>
      </c>
      <c r="C19" s="14">
        <v>1</v>
      </c>
      <c r="D19" s="14">
        <v>0</v>
      </c>
      <c r="E19" s="14">
        <v>1</v>
      </c>
      <c r="F19" s="14">
        <v>17</v>
      </c>
      <c r="G19" s="14" t="b">
        <v>0</v>
      </c>
      <c r="H19" s="14">
        <v>6</v>
      </c>
      <c r="I19" s="14">
        <v>2</v>
      </c>
      <c r="J19" s="14">
        <v>0.44</v>
      </c>
      <c r="K19">
        <f>VLOOKUP(A19,[1]dataset_2!B:H,2,FALSE)</f>
        <v>0</v>
      </c>
      <c r="L19">
        <f>VLOOKUP(A19,[1]dataset_2!B:H,3,FALSE)</f>
        <v>0.82</v>
      </c>
      <c r="M19">
        <f>VLOOKUP(A19,[1]dataset_2!B:H,4,FALSE)</f>
        <v>0.28360000000000002</v>
      </c>
      <c r="N19">
        <f>VLOOKUP(A19,[1]dataset_2!B:H,5,FALSE)</f>
        <v>15</v>
      </c>
      <c r="O19">
        <f>VLOOKUP(A19,[1]dataset_2!B:H,6,FALSE)</f>
        <v>52</v>
      </c>
      <c r="P19">
        <f>VLOOKUP(A19,[1]dataset_2!B:H,7,FALSE)</f>
        <v>67</v>
      </c>
      <c r="Q19" t="str">
        <f t="shared" si="0"/>
        <v>Weekend</v>
      </c>
      <c r="R19" t="str">
        <f t="shared" si="1"/>
        <v>Afternoon</v>
      </c>
      <c r="S19" t="str">
        <f t="shared" si="2"/>
        <v>Low</v>
      </c>
    </row>
    <row r="20" spans="1:19">
      <c r="A20" s="14">
        <v>19</v>
      </c>
      <c r="B20" s="15">
        <v>40544</v>
      </c>
      <c r="C20" s="14">
        <v>1</v>
      </c>
      <c r="D20" s="14">
        <v>0</v>
      </c>
      <c r="E20" s="14">
        <v>1</v>
      </c>
      <c r="F20" s="14">
        <v>18</v>
      </c>
      <c r="G20" s="14" t="b">
        <v>0</v>
      </c>
      <c r="H20" s="14">
        <v>6</v>
      </c>
      <c r="I20" s="14">
        <v>3</v>
      </c>
      <c r="J20" s="14">
        <v>0.42</v>
      </c>
      <c r="K20">
        <f>VLOOKUP(A20,[1]dataset_2!B:H,2,FALSE)</f>
        <v>0.42420000000000002</v>
      </c>
      <c r="L20">
        <f>VLOOKUP(A20,[1]dataset_2!B:H,3,FALSE)</f>
        <v>0.88</v>
      </c>
      <c r="M20">
        <f>VLOOKUP(A20,[1]dataset_2!B:H,4,FALSE)</f>
        <v>0.25369999999999998</v>
      </c>
      <c r="N20">
        <f>VLOOKUP(A20,[1]dataset_2!B:H,5,FALSE)</f>
        <v>9</v>
      </c>
      <c r="O20">
        <f>VLOOKUP(A20,[1]dataset_2!B:H,6,FALSE)</f>
        <v>26</v>
      </c>
      <c r="P20">
        <f>VLOOKUP(A20,[1]dataset_2!B:H,7,FALSE)</f>
        <v>35</v>
      </c>
      <c r="Q20" t="str">
        <f t="shared" si="0"/>
        <v>Weekend</v>
      </c>
      <c r="R20" t="str">
        <f t="shared" si="1"/>
        <v>Evening</v>
      </c>
      <c r="S20" t="str">
        <f t="shared" si="2"/>
        <v>Low</v>
      </c>
    </row>
    <row r="21" spans="1:19">
      <c r="A21" s="14">
        <v>20</v>
      </c>
      <c r="B21" s="15">
        <v>40544</v>
      </c>
      <c r="C21" s="14">
        <v>1</v>
      </c>
      <c r="D21" s="14">
        <v>0</v>
      </c>
      <c r="E21" s="14">
        <v>1</v>
      </c>
      <c r="F21" s="14">
        <v>19</v>
      </c>
      <c r="G21" s="14" t="b">
        <v>0</v>
      </c>
      <c r="H21" s="14">
        <v>6</v>
      </c>
      <c r="I21" s="14">
        <v>3</v>
      </c>
      <c r="J21" s="14">
        <v>0.42</v>
      </c>
      <c r="K21">
        <f>VLOOKUP(A21,[1]dataset_2!B:H,2,FALSE)</f>
        <v>0.42420000000000002</v>
      </c>
      <c r="L21">
        <f>VLOOKUP(A21,[1]dataset_2!B:H,3,FALSE)</f>
        <v>0.88</v>
      </c>
      <c r="M21">
        <f>VLOOKUP(A21,[1]dataset_2!B:H,4,FALSE)</f>
        <v>0.25369999999999998</v>
      </c>
      <c r="N21">
        <f>VLOOKUP(A21,[1]dataset_2!B:H,5,FALSE)</f>
        <v>6</v>
      </c>
      <c r="O21">
        <f>VLOOKUP(A21,[1]dataset_2!B:H,6,FALSE)</f>
        <v>31</v>
      </c>
      <c r="P21">
        <f>VLOOKUP(A21,[1]dataset_2!B:H,7,FALSE)</f>
        <v>37</v>
      </c>
      <c r="Q21" t="str">
        <f t="shared" si="0"/>
        <v>Weekend</v>
      </c>
      <c r="R21" t="str">
        <f t="shared" si="1"/>
        <v>Evening</v>
      </c>
      <c r="S21" t="str">
        <f t="shared" si="2"/>
        <v>Low</v>
      </c>
    </row>
    <row r="22" spans="1:19">
      <c r="A22" s="14">
        <v>21</v>
      </c>
      <c r="B22" s="15">
        <v>40544</v>
      </c>
      <c r="C22" s="14">
        <v>1</v>
      </c>
      <c r="D22" s="14">
        <v>0</v>
      </c>
      <c r="E22" s="14">
        <v>1</v>
      </c>
      <c r="F22" s="14">
        <v>20</v>
      </c>
      <c r="G22" s="14" t="b">
        <v>0</v>
      </c>
      <c r="H22" s="14">
        <v>6</v>
      </c>
      <c r="I22" s="14">
        <v>2</v>
      </c>
      <c r="J22" s="14">
        <v>0.4</v>
      </c>
      <c r="K22">
        <f>VLOOKUP(A22,[1]dataset_2!B:H,2,FALSE)</f>
        <v>0.40910000000000002</v>
      </c>
      <c r="L22">
        <f>VLOOKUP(A22,[1]dataset_2!B:H,3,FALSE)</f>
        <v>0.87</v>
      </c>
      <c r="M22">
        <f>VLOOKUP(A22,[1]dataset_2!B:H,4,FALSE)</f>
        <v>0.25369999999999998</v>
      </c>
      <c r="N22">
        <f>VLOOKUP(A22,[1]dataset_2!B:H,5,FALSE)</f>
        <v>11</v>
      </c>
      <c r="O22">
        <f>VLOOKUP(A22,[1]dataset_2!B:H,6,FALSE)</f>
        <v>25</v>
      </c>
      <c r="P22">
        <f>VLOOKUP(A22,[1]dataset_2!B:H,7,FALSE)</f>
        <v>36</v>
      </c>
      <c r="Q22" t="str">
        <f t="shared" si="0"/>
        <v>Weekend</v>
      </c>
      <c r="R22" t="str">
        <f t="shared" si="1"/>
        <v>Evening</v>
      </c>
      <c r="S22" t="str">
        <f t="shared" si="2"/>
        <v>Low</v>
      </c>
    </row>
    <row r="23" spans="1:19">
      <c r="A23" s="14">
        <v>22</v>
      </c>
      <c r="B23" s="15">
        <v>40544</v>
      </c>
      <c r="C23" s="14">
        <v>1</v>
      </c>
      <c r="D23" s="14">
        <v>0</v>
      </c>
      <c r="E23" s="14">
        <v>1</v>
      </c>
      <c r="F23" s="14">
        <v>21</v>
      </c>
      <c r="G23" s="14" t="b">
        <v>0</v>
      </c>
      <c r="H23" s="14">
        <v>6</v>
      </c>
      <c r="I23" s="14">
        <v>2</v>
      </c>
      <c r="J23" s="14">
        <v>0.4</v>
      </c>
      <c r="K23">
        <f>VLOOKUP(A23,[1]dataset_2!B:H,2,FALSE)</f>
        <v>0.40910000000000002</v>
      </c>
      <c r="L23">
        <f>VLOOKUP(A23,[1]dataset_2!B:H,3,FALSE)</f>
        <v>0.87</v>
      </c>
      <c r="M23">
        <f>VLOOKUP(A23,[1]dataset_2!B:H,4,FALSE)</f>
        <v>0.19400000000000001</v>
      </c>
      <c r="N23">
        <f>VLOOKUP(A23,[1]dataset_2!B:H,5,FALSE)</f>
        <v>3</v>
      </c>
      <c r="O23">
        <f>VLOOKUP(A23,[1]dataset_2!B:H,6,FALSE)</f>
        <v>31</v>
      </c>
      <c r="P23">
        <f>VLOOKUP(A23,[1]dataset_2!B:H,7,FALSE)</f>
        <v>34</v>
      </c>
      <c r="Q23" t="str">
        <f t="shared" si="0"/>
        <v>Weekend</v>
      </c>
      <c r="R23" t="str">
        <f t="shared" si="1"/>
        <v>Evening</v>
      </c>
      <c r="S23" t="str">
        <f t="shared" si="2"/>
        <v>Low</v>
      </c>
    </row>
    <row r="24" spans="1:19">
      <c r="A24" s="14">
        <v>23</v>
      </c>
      <c r="B24" s="15">
        <v>40544</v>
      </c>
      <c r="C24" s="14">
        <v>1</v>
      </c>
      <c r="D24" s="14">
        <v>0</v>
      </c>
      <c r="E24" s="14">
        <v>1</v>
      </c>
      <c r="F24" s="14">
        <v>22</v>
      </c>
      <c r="G24" s="14" t="b">
        <v>0</v>
      </c>
      <c r="H24" s="14">
        <v>6</v>
      </c>
      <c r="I24" s="14">
        <v>2</v>
      </c>
      <c r="J24" s="14">
        <v>0.4</v>
      </c>
      <c r="K24">
        <f>VLOOKUP(A24,[1]dataset_2!B:H,2,FALSE)</f>
        <v>0.40910000000000002</v>
      </c>
      <c r="L24">
        <f>VLOOKUP(A24,[1]dataset_2!B:H,3,FALSE)</f>
        <v>0.94</v>
      </c>
      <c r="M24">
        <f>VLOOKUP(A24,[1]dataset_2!B:H,4,FALSE)</f>
        <v>0.22389999999999999</v>
      </c>
      <c r="N24">
        <f>VLOOKUP(A24,[1]dataset_2!B:H,5,FALSE)</f>
        <v>11</v>
      </c>
      <c r="O24">
        <f>VLOOKUP(A24,[1]dataset_2!B:H,6,FALSE)</f>
        <v>17</v>
      </c>
      <c r="P24">
        <f>VLOOKUP(A24,[1]dataset_2!B:H,7,FALSE)</f>
        <v>28</v>
      </c>
      <c r="Q24" t="str">
        <f t="shared" si="0"/>
        <v>Weekend</v>
      </c>
      <c r="R24" t="str">
        <f t="shared" si="1"/>
        <v>Evening</v>
      </c>
      <c r="S24" t="str">
        <f t="shared" si="2"/>
        <v>Low</v>
      </c>
    </row>
    <row r="25" spans="1:19">
      <c r="A25" s="14">
        <v>24</v>
      </c>
      <c r="B25" s="15">
        <v>40544</v>
      </c>
      <c r="C25" s="14">
        <v>1</v>
      </c>
      <c r="D25" s="14">
        <v>0</v>
      </c>
      <c r="E25" s="14">
        <v>1</v>
      </c>
      <c r="F25" s="14">
        <v>23</v>
      </c>
      <c r="G25" s="14" t="b">
        <v>0</v>
      </c>
      <c r="H25" s="14">
        <v>6</v>
      </c>
      <c r="I25" s="14">
        <v>2</v>
      </c>
      <c r="J25" s="14">
        <v>0.46</v>
      </c>
      <c r="K25">
        <f>VLOOKUP(A25,[1]dataset_2!B:H,2,FALSE)</f>
        <v>0</v>
      </c>
      <c r="L25">
        <f>VLOOKUP(A25,[1]dataset_2!B:H,3,FALSE)</f>
        <v>0.88</v>
      </c>
      <c r="M25">
        <f>VLOOKUP(A25,[1]dataset_2!B:H,4,FALSE)</f>
        <v>0.29849999999999999</v>
      </c>
      <c r="N25">
        <f>VLOOKUP(A25,[1]dataset_2!B:H,5,FALSE)</f>
        <v>15</v>
      </c>
      <c r="O25">
        <f>VLOOKUP(A25,[1]dataset_2!B:H,6,FALSE)</f>
        <v>24</v>
      </c>
      <c r="P25">
        <f>VLOOKUP(A25,[1]dataset_2!B:H,7,FALSE)</f>
        <v>39</v>
      </c>
      <c r="Q25" t="str">
        <f t="shared" si="0"/>
        <v>Weekend</v>
      </c>
      <c r="R25" t="str">
        <f t="shared" si="1"/>
        <v>Evening</v>
      </c>
      <c r="S25" t="str">
        <f t="shared" si="2"/>
        <v>Low</v>
      </c>
    </row>
    <row r="26" spans="1:19">
      <c r="A26" s="14">
        <v>25</v>
      </c>
      <c r="B26" s="15">
        <v>40545</v>
      </c>
      <c r="C26" s="14">
        <v>1</v>
      </c>
      <c r="D26" s="14">
        <v>0</v>
      </c>
      <c r="E26" s="14">
        <v>1</v>
      </c>
      <c r="F26" s="14">
        <v>0</v>
      </c>
      <c r="G26" s="14" t="b">
        <v>0</v>
      </c>
      <c r="H26" s="14">
        <v>0</v>
      </c>
      <c r="I26" s="14">
        <v>2</v>
      </c>
      <c r="J26" s="14">
        <v>0.46</v>
      </c>
      <c r="K26">
        <f>VLOOKUP(A26,[1]dataset_2!B:H,2,FALSE)</f>
        <v>0.45450000000000002</v>
      </c>
      <c r="L26">
        <f>VLOOKUP(A26,[1]dataset_2!B:H,3,FALSE)</f>
        <v>0.88</v>
      </c>
      <c r="M26">
        <f>VLOOKUP(A26,[1]dataset_2!B:H,4,FALSE)</f>
        <v>0.29849999999999999</v>
      </c>
      <c r="N26">
        <f>VLOOKUP(A26,[1]dataset_2!B:H,5,FALSE)</f>
        <v>4</v>
      </c>
      <c r="O26">
        <f>VLOOKUP(A26,[1]dataset_2!B:H,6,FALSE)</f>
        <v>13</v>
      </c>
      <c r="P26">
        <f>VLOOKUP(A26,[1]dataset_2!B:H,7,FALSE)</f>
        <v>17</v>
      </c>
      <c r="Q26" t="str">
        <f t="shared" si="0"/>
        <v>Weekend</v>
      </c>
      <c r="R26" t="str">
        <f t="shared" si="1"/>
        <v>Morning</v>
      </c>
      <c r="S26" t="str">
        <f t="shared" si="2"/>
        <v>Low</v>
      </c>
    </row>
    <row r="27" spans="1:19">
      <c r="A27" s="14">
        <v>26</v>
      </c>
      <c r="B27" s="15">
        <v>40545</v>
      </c>
      <c r="C27" s="14">
        <v>1</v>
      </c>
      <c r="D27" s="14">
        <v>0</v>
      </c>
      <c r="E27" s="14">
        <v>1</v>
      </c>
      <c r="F27" s="14">
        <v>1</v>
      </c>
      <c r="G27" s="14" t="b">
        <v>0</v>
      </c>
      <c r="H27" s="14">
        <v>0</v>
      </c>
      <c r="I27" s="14">
        <v>2</v>
      </c>
      <c r="J27" s="14">
        <v>0.44</v>
      </c>
      <c r="K27">
        <f>VLOOKUP(A27,[1]dataset_2!B:H,2,FALSE)</f>
        <v>0.43940000000000001</v>
      </c>
      <c r="L27">
        <f>VLOOKUP(A27,[1]dataset_2!B:H,3,FALSE)</f>
        <v>0.94</v>
      </c>
      <c r="M27">
        <f>VLOOKUP(A27,[1]dataset_2!B:H,4,FALSE)</f>
        <v>0.25369999999999998</v>
      </c>
      <c r="N27">
        <f>VLOOKUP(A27,[1]dataset_2!B:H,5,FALSE)</f>
        <v>1</v>
      </c>
      <c r="O27">
        <f>VLOOKUP(A27,[1]dataset_2!B:H,6,FALSE)</f>
        <v>16</v>
      </c>
      <c r="P27">
        <f>VLOOKUP(A27,[1]dataset_2!B:H,7,FALSE)</f>
        <v>17</v>
      </c>
      <c r="Q27" t="str">
        <f t="shared" si="0"/>
        <v>Weekend</v>
      </c>
      <c r="R27" t="str">
        <f t="shared" si="1"/>
        <v>Morning</v>
      </c>
      <c r="S27" t="str">
        <f t="shared" si="2"/>
        <v>Low</v>
      </c>
    </row>
    <row r="28" spans="1:19">
      <c r="A28" s="14">
        <v>27</v>
      </c>
      <c r="B28" s="15">
        <v>40545</v>
      </c>
      <c r="C28" s="14">
        <v>1</v>
      </c>
      <c r="D28" s="14">
        <v>0</v>
      </c>
      <c r="E28" s="14">
        <v>1</v>
      </c>
      <c r="F28" s="14">
        <v>2</v>
      </c>
      <c r="G28" s="14" t="b">
        <v>0</v>
      </c>
      <c r="H28" s="14">
        <v>0</v>
      </c>
      <c r="I28" s="14">
        <v>2</v>
      </c>
      <c r="J28" s="14">
        <v>0.42</v>
      </c>
      <c r="K28">
        <f>VLOOKUP(A28,[1]dataset_2!B:H,2,FALSE)</f>
        <v>0.42420000000000002</v>
      </c>
      <c r="L28">
        <f>VLOOKUP(A28,[1]dataset_2!B:H,3,FALSE)</f>
        <v>1</v>
      </c>
      <c r="M28">
        <f>VLOOKUP(A28,[1]dataset_2!B:H,4,FALSE)</f>
        <v>0.28360000000000002</v>
      </c>
      <c r="N28">
        <f>VLOOKUP(A28,[1]dataset_2!B:H,5,FALSE)</f>
        <v>1</v>
      </c>
      <c r="O28">
        <f>VLOOKUP(A28,[1]dataset_2!B:H,6,FALSE)</f>
        <v>8</v>
      </c>
      <c r="P28">
        <f>VLOOKUP(A28,[1]dataset_2!B:H,7,FALSE)</f>
        <v>9</v>
      </c>
      <c r="Q28" t="str">
        <f t="shared" si="0"/>
        <v>Weekend</v>
      </c>
      <c r="R28" t="str">
        <f t="shared" si="1"/>
        <v>Morning</v>
      </c>
      <c r="S28" t="str">
        <f t="shared" si="2"/>
        <v>Low</v>
      </c>
    </row>
    <row r="29" spans="1:19">
      <c r="A29" s="14">
        <v>28</v>
      </c>
      <c r="B29" s="15">
        <v>40545</v>
      </c>
      <c r="C29" s="14">
        <v>1</v>
      </c>
      <c r="D29" s="14">
        <v>0</v>
      </c>
      <c r="E29" s="14">
        <v>1</v>
      </c>
      <c r="F29" s="14">
        <v>3</v>
      </c>
      <c r="G29" s="14" t="b">
        <v>0</v>
      </c>
      <c r="H29" s="14">
        <v>0</v>
      </c>
      <c r="I29" s="14">
        <v>2</v>
      </c>
      <c r="J29" s="14">
        <v>0.46</v>
      </c>
      <c r="K29">
        <f>VLOOKUP(A29,[1]dataset_2!B:H,2,FALSE)</f>
        <v>0.45450000000000002</v>
      </c>
      <c r="L29">
        <f>VLOOKUP(A29,[1]dataset_2!B:H,3,FALSE)</f>
        <v>0.94</v>
      </c>
      <c r="M29">
        <f>VLOOKUP(A29,[1]dataset_2!B:H,4,FALSE)</f>
        <v>0.19400000000000001</v>
      </c>
      <c r="N29">
        <f>VLOOKUP(A29,[1]dataset_2!B:H,5,FALSE)</f>
        <v>2</v>
      </c>
      <c r="O29">
        <f>VLOOKUP(A29,[1]dataset_2!B:H,6,FALSE)</f>
        <v>4</v>
      </c>
      <c r="P29">
        <f>VLOOKUP(A29,[1]dataset_2!B:H,7,FALSE)</f>
        <v>6</v>
      </c>
      <c r="Q29" t="str">
        <f t="shared" si="0"/>
        <v>Weekend</v>
      </c>
      <c r="R29" t="str">
        <f t="shared" si="1"/>
        <v>Morning</v>
      </c>
      <c r="S29" t="str">
        <f t="shared" si="2"/>
        <v>Low</v>
      </c>
    </row>
    <row r="30" spans="1:19">
      <c r="A30" s="14">
        <v>29</v>
      </c>
      <c r="B30" s="15">
        <v>40545</v>
      </c>
      <c r="C30" s="14">
        <v>1</v>
      </c>
      <c r="D30" s="14">
        <v>0</v>
      </c>
      <c r="E30" s="14">
        <v>1</v>
      </c>
      <c r="F30" s="14">
        <v>4</v>
      </c>
      <c r="G30" s="14" t="b">
        <v>0</v>
      </c>
      <c r="H30" s="14">
        <v>0</v>
      </c>
      <c r="I30" s="14">
        <v>2</v>
      </c>
      <c r="J30" s="14">
        <v>0.46</v>
      </c>
      <c r="K30">
        <f>VLOOKUP(A30,[1]dataset_2!B:H,2,FALSE)</f>
        <v>0</v>
      </c>
      <c r="L30">
        <f>VLOOKUP(A30,[1]dataset_2!B:H,3,FALSE)</f>
        <v>0.94</v>
      </c>
      <c r="M30">
        <f>VLOOKUP(A30,[1]dataset_2!B:H,4,FALSE)</f>
        <v>0.19400000000000001</v>
      </c>
      <c r="N30">
        <f>VLOOKUP(A30,[1]dataset_2!B:H,5,FALSE)</f>
        <v>2</v>
      </c>
      <c r="O30">
        <f>VLOOKUP(A30,[1]dataset_2!B:H,6,FALSE)</f>
        <v>1</v>
      </c>
      <c r="P30">
        <f>VLOOKUP(A30,[1]dataset_2!B:H,7,FALSE)</f>
        <v>3</v>
      </c>
      <c r="Q30" t="str">
        <f t="shared" si="0"/>
        <v>Weekend</v>
      </c>
      <c r="R30" t="str">
        <f t="shared" si="1"/>
        <v>Morning</v>
      </c>
      <c r="S30" t="str">
        <f t="shared" si="2"/>
        <v>Low</v>
      </c>
    </row>
    <row r="31" spans="1:19">
      <c r="A31" s="14">
        <v>30</v>
      </c>
      <c r="B31" s="15">
        <v>40545</v>
      </c>
      <c r="C31" s="14">
        <v>1</v>
      </c>
      <c r="D31" s="14">
        <v>0</v>
      </c>
      <c r="E31" s="14">
        <v>1</v>
      </c>
      <c r="F31" s="14">
        <v>6</v>
      </c>
      <c r="G31" s="14" t="b">
        <v>0</v>
      </c>
      <c r="H31" s="14">
        <v>0</v>
      </c>
      <c r="I31" s="14">
        <v>3</v>
      </c>
      <c r="J31" s="14">
        <v>0.42</v>
      </c>
      <c r="K31">
        <f>VLOOKUP(A31,[1]dataset_2!B:H,2,FALSE)</f>
        <v>0.42420000000000002</v>
      </c>
      <c r="L31">
        <f>VLOOKUP(A31,[1]dataset_2!B:H,3,FALSE)</f>
        <v>0.77</v>
      </c>
      <c r="M31">
        <f>VLOOKUP(A31,[1]dataset_2!B:H,4,FALSE)</f>
        <v>0.29849999999999999</v>
      </c>
      <c r="N31">
        <f>VLOOKUP(A31,[1]dataset_2!B:H,5,FALSE)</f>
        <v>0</v>
      </c>
      <c r="O31">
        <f>VLOOKUP(A31,[1]dataset_2!B:H,6,FALSE)</f>
        <v>2</v>
      </c>
      <c r="P31">
        <f>VLOOKUP(A31,[1]dataset_2!B:H,7,FALSE)</f>
        <v>2</v>
      </c>
      <c r="Q31" t="str">
        <f t="shared" si="0"/>
        <v>Weekend</v>
      </c>
      <c r="R31" t="str">
        <f t="shared" si="1"/>
        <v>Morning</v>
      </c>
      <c r="S31" t="str">
        <f t="shared" si="2"/>
        <v>Low</v>
      </c>
    </row>
    <row r="32" spans="1:19">
      <c r="A32" s="14">
        <v>31</v>
      </c>
      <c r="B32" s="15">
        <v>40545</v>
      </c>
      <c r="C32" s="14">
        <v>1</v>
      </c>
      <c r="D32" s="14">
        <v>0</v>
      </c>
      <c r="E32" s="14">
        <v>1</v>
      </c>
      <c r="F32" s="14">
        <v>7</v>
      </c>
      <c r="G32" s="14" t="b">
        <v>0</v>
      </c>
      <c r="H32" s="14">
        <v>0</v>
      </c>
      <c r="I32" s="14">
        <v>2</v>
      </c>
      <c r="J32" s="14">
        <v>0.4</v>
      </c>
      <c r="K32">
        <f>VLOOKUP(A32,[1]dataset_2!B:H,2,FALSE)</f>
        <v>0.40910000000000002</v>
      </c>
      <c r="L32">
        <f>VLOOKUP(A32,[1]dataset_2!B:H,3,FALSE)</f>
        <v>0.76</v>
      </c>
      <c r="M32">
        <f>VLOOKUP(A32,[1]dataset_2!B:H,4,FALSE)</f>
        <v>0.19400000000000001</v>
      </c>
      <c r="N32">
        <f>VLOOKUP(A32,[1]dataset_2!B:H,5,FALSE)</f>
        <v>0</v>
      </c>
      <c r="O32">
        <f>VLOOKUP(A32,[1]dataset_2!B:H,6,FALSE)</f>
        <v>1</v>
      </c>
      <c r="P32">
        <f>VLOOKUP(A32,[1]dataset_2!B:H,7,FALSE)</f>
        <v>1</v>
      </c>
      <c r="Q32" t="str">
        <f t="shared" si="0"/>
        <v>Weekend</v>
      </c>
      <c r="R32" t="str">
        <f t="shared" si="1"/>
        <v>Morning</v>
      </c>
      <c r="S32" t="str">
        <f t="shared" si="2"/>
        <v>Low</v>
      </c>
    </row>
    <row r="33" spans="1:19">
      <c r="A33" s="14">
        <v>32</v>
      </c>
      <c r="B33" s="15">
        <v>40545</v>
      </c>
      <c r="C33" s="14">
        <v>1</v>
      </c>
      <c r="D33" s="14">
        <v>0</v>
      </c>
      <c r="E33" s="14">
        <v>1</v>
      </c>
      <c r="F33" s="14">
        <v>8</v>
      </c>
      <c r="G33" s="14" t="b">
        <v>0</v>
      </c>
      <c r="H33" s="14">
        <v>0</v>
      </c>
      <c r="I33" s="14">
        <v>3</v>
      </c>
      <c r="J33" s="14">
        <v>0.4</v>
      </c>
      <c r="K33">
        <f>VLOOKUP(A33,[1]dataset_2!B:H,2,FALSE)</f>
        <v>0.40910000000000002</v>
      </c>
      <c r="L33">
        <f>VLOOKUP(A33,[1]dataset_2!B:H,3,FALSE)</f>
        <v>0.71</v>
      </c>
      <c r="M33">
        <f>VLOOKUP(A33,[1]dataset_2!B:H,4,FALSE)</f>
        <v>0.22389999999999999</v>
      </c>
      <c r="N33">
        <f>VLOOKUP(A33,[1]dataset_2!B:H,5,FALSE)</f>
        <v>0</v>
      </c>
      <c r="O33">
        <f>VLOOKUP(A33,[1]dataset_2!B:H,6,FALSE)</f>
        <v>8</v>
      </c>
      <c r="P33">
        <f>VLOOKUP(A33,[1]dataset_2!B:H,7,FALSE)</f>
        <v>8</v>
      </c>
      <c r="Q33" t="str">
        <f t="shared" si="0"/>
        <v>Weekend</v>
      </c>
      <c r="R33" t="str">
        <f t="shared" si="1"/>
        <v>Morning</v>
      </c>
      <c r="S33" t="str">
        <f t="shared" si="2"/>
        <v>Low</v>
      </c>
    </row>
    <row r="34" spans="1:19">
      <c r="A34" s="14">
        <v>33</v>
      </c>
      <c r="B34" s="15">
        <v>40545</v>
      </c>
      <c r="C34" s="14">
        <v>1</v>
      </c>
      <c r="D34" s="14">
        <v>0</v>
      </c>
      <c r="E34" s="14">
        <v>1</v>
      </c>
      <c r="F34" s="14">
        <v>9</v>
      </c>
      <c r="G34" s="14" t="b">
        <v>0</v>
      </c>
      <c r="H34" s="14">
        <v>0</v>
      </c>
      <c r="I34" s="14">
        <v>2</v>
      </c>
      <c r="J34" s="14">
        <v>0.38</v>
      </c>
      <c r="K34">
        <f>VLOOKUP(A34,[1]dataset_2!B:H,2,FALSE)</f>
        <v>0</v>
      </c>
      <c r="L34">
        <f>VLOOKUP(A34,[1]dataset_2!B:H,3,FALSE)</f>
        <v>0.76</v>
      </c>
      <c r="M34">
        <f>VLOOKUP(A34,[1]dataset_2!B:H,4,FALSE)</f>
        <v>0.22389999999999999</v>
      </c>
      <c r="N34">
        <f>VLOOKUP(A34,[1]dataset_2!B:H,5,FALSE)</f>
        <v>1</v>
      </c>
      <c r="O34">
        <f>VLOOKUP(A34,[1]dataset_2!B:H,6,FALSE)</f>
        <v>19</v>
      </c>
      <c r="P34">
        <f>VLOOKUP(A34,[1]dataset_2!B:H,7,FALSE)</f>
        <v>20</v>
      </c>
      <c r="Q34" t="str">
        <f t="shared" si="0"/>
        <v>Weekend</v>
      </c>
      <c r="R34" t="str">
        <f t="shared" si="1"/>
        <v>Morning</v>
      </c>
      <c r="S34" t="str">
        <f t="shared" si="2"/>
        <v>Low</v>
      </c>
    </row>
    <row r="35" spans="1:19">
      <c r="A35" s="14">
        <v>34</v>
      </c>
      <c r="B35" s="15">
        <v>40545</v>
      </c>
      <c r="C35" s="14">
        <v>1</v>
      </c>
      <c r="D35" s="14">
        <v>0</v>
      </c>
      <c r="E35" s="14">
        <v>1</v>
      </c>
      <c r="F35" s="14">
        <v>10</v>
      </c>
      <c r="G35" s="14" t="b">
        <v>0</v>
      </c>
      <c r="H35" s="14">
        <v>0</v>
      </c>
      <c r="I35" s="14">
        <v>2</v>
      </c>
      <c r="J35" s="14">
        <v>0.36</v>
      </c>
      <c r="K35">
        <f>VLOOKUP(A35,[1]dataset_2!B:H,2,FALSE)</f>
        <v>0.34849999999999998</v>
      </c>
      <c r="L35">
        <f>VLOOKUP(A35,[1]dataset_2!B:H,3,FALSE)</f>
        <v>0.81</v>
      </c>
      <c r="M35">
        <f>VLOOKUP(A35,[1]dataset_2!B:H,4,FALSE)</f>
        <v>0.22389999999999999</v>
      </c>
      <c r="N35">
        <f>VLOOKUP(A35,[1]dataset_2!B:H,5,FALSE)</f>
        <v>7</v>
      </c>
      <c r="O35">
        <f>VLOOKUP(A35,[1]dataset_2!B:H,6,FALSE)</f>
        <v>46</v>
      </c>
      <c r="P35">
        <f>VLOOKUP(A35,[1]dataset_2!B:H,7,FALSE)</f>
        <v>53</v>
      </c>
      <c r="Q35" t="str">
        <f t="shared" si="0"/>
        <v>Weekend</v>
      </c>
      <c r="R35" t="str">
        <f t="shared" si="1"/>
        <v>Morning</v>
      </c>
      <c r="S35" t="str">
        <f t="shared" si="2"/>
        <v>Low</v>
      </c>
    </row>
    <row r="36" spans="1:19">
      <c r="A36" s="14">
        <v>35</v>
      </c>
      <c r="B36" s="15">
        <v>40545</v>
      </c>
      <c r="C36" s="14">
        <v>1</v>
      </c>
      <c r="D36" s="14">
        <v>0</v>
      </c>
      <c r="E36" s="14">
        <v>1</v>
      </c>
      <c r="F36" s="14">
        <v>11</v>
      </c>
      <c r="G36" s="14" t="b">
        <v>0</v>
      </c>
      <c r="H36" s="14">
        <v>0</v>
      </c>
      <c r="I36" s="14">
        <v>2</v>
      </c>
      <c r="J36" s="14">
        <v>0.36</v>
      </c>
      <c r="K36">
        <f>VLOOKUP(A36,[1]dataset_2!B:H,2,FALSE)</f>
        <v>0.33329999999999999</v>
      </c>
      <c r="L36">
        <f>VLOOKUP(A36,[1]dataset_2!B:H,3,FALSE)</f>
        <v>0.71</v>
      </c>
      <c r="M36">
        <f>VLOOKUP(A36,[1]dataset_2!B:H,4,FALSE)</f>
        <v>0.25369999999999998</v>
      </c>
      <c r="N36">
        <f>VLOOKUP(A36,[1]dataset_2!B:H,5,FALSE)</f>
        <v>16</v>
      </c>
      <c r="O36">
        <f>VLOOKUP(A36,[1]dataset_2!B:H,6,FALSE)</f>
        <v>54</v>
      </c>
      <c r="P36">
        <f>VLOOKUP(A36,[1]dataset_2!B:H,7,FALSE)</f>
        <v>70</v>
      </c>
      <c r="Q36" t="str">
        <f t="shared" si="0"/>
        <v>Weekend</v>
      </c>
      <c r="R36" t="str">
        <f t="shared" si="1"/>
        <v>Morning</v>
      </c>
      <c r="S36" t="str">
        <f t="shared" si="2"/>
        <v>Low</v>
      </c>
    </row>
    <row r="37" spans="1:19">
      <c r="A37" s="14">
        <v>36</v>
      </c>
      <c r="B37" s="15">
        <v>40545</v>
      </c>
      <c r="C37" s="14">
        <v>1</v>
      </c>
      <c r="D37" s="14">
        <v>0</v>
      </c>
      <c r="E37" s="14">
        <v>1</v>
      </c>
      <c r="F37" s="14">
        <v>12</v>
      </c>
      <c r="G37" s="14" t="b">
        <v>0</v>
      </c>
      <c r="H37" s="14">
        <v>0</v>
      </c>
      <c r="I37" s="14">
        <v>2</v>
      </c>
      <c r="J37" s="14">
        <v>0.36</v>
      </c>
      <c r="K37">
        <f>VLOOKUP(A37,[1]dataset_2!B:H,2,FALSE)</f>
        <v>0.33329999999999999</v>
      </c>
      <c r="L37">
        <f>VLOOKUP(A37,[1]dataset_2!B:H,3,FALSE)</f>
        <v>0.66</v>
      </c>
      <c r="M37">
        <f>VLOOKUP(A37,[1]dataset_2!B:H,4,FALSE)</f>
        <v>0.29849999999999999</v>
      </c>
      <c r="N37">
        <f>VLOOKUP(A37,[1]dataset_2!B:H,5,FALSE)</f>
        <v>20</v>
      </c>
      <c r="O37">
        <f>VLOOKUP(A37,[1]dataset_2!B:H,6,FALSE)</f>
        <v>73</v>
      </c>
      <c r="P37">
        <f>VLOOKUP(A37,[1]dataset_2!B:H,7,FALSE)</f>
        <v>93</v>
      </c>
      <c r="Q37" t="str">
        <f t="shared" si="0"/>
        <v>Weekend</v>
      </c>
      <c r="R37" t="str">
        <f t="shared" si="1"/>
        <v>Afternoon</v>
      </c>
      <c r="S37" t="str">
        <f t="shared" si="2"/>
        <v>Low</v>
      </c>
    </row>
    <row r="38" spans="1:19">
      <c r="A38" s="14">
        <v>37</v>
      </c>
      <c r="B38" s="15">
        <v>40545</v>
      </c>
      <c r="C38" s="14">
        <v>1</v>
      </c>
      <c r="D38" s="14">
        <v>0</v>
      </c>
      <c r="E38" s="14">
        <v>1</v>
      </c>
      <c r="F38" s="14">
        <v>13</v>
      </c>
      <c r="G38" s="14" t="b">
        <v>0</v>
      </c>
      <c r="H38" s="14">
        <v>0</v>
      </c>
      <c r="I38" s="14">
        <v>2</v>
      </c>
      <c r="J38" s="14">
        <v>0.36</v>
      </c>
      <c r="K38">
        <f>VLOOKUP(A38,[1]dataset_2!B:H,2,FALSE)</f>
        <v>0.34849999999999998</v>
      </c>
      <c r="L38">
        <f>VLOOKUP(A38,[1]dataset_2!B:H,3,FALSE)</f>
        <v>0.66</v>
      </c>
      <c r="M38">
        <f>VLOOKUP(A38,[1]dataset_2!B:H,4,FALSE)</f>
        <v>0.1343</v>
      </c>
      <c r="N38">
        <f>VLOOKUP(A38,[1]dataset_2!B:H,5,FALSE)</f>
        <v>11</v>
      </c>
      <c r="O38">
        <f>VLOOKUP(A38,[1]dataset_2!B:H,6,FALSE)</f>
        <v>64</v>
      </c>
      <c r="P38">
        <f>VLOOKUP(A38,[1]dataset_2!B:H,7,FALSE)</f>
        <v>75</v>
      </c>
      <c r="Q38" t="str">
        <f t="shared" si="0"/>
        <v>Weekend</v>
      </c>
      <c r="R38" t="str">
        <f t="shared" si="1"/>
        <v>Afternoon</v>
      </c>
      <c r="S38" t="str">
        <f t="shared" si="2"/>
        <v>Low</v>
      </c>
    </row>
    <row r="39" spans="1:19">
      <c r="A39" s="14">
        <v>38</v>
      </c>
      <c r="B39" s="15">
        <v>40545</v>
      </c>
      <c r="C39" s="14">
        <v>1</v>
      </c>
      <c r="D39" s="14">
        <v>0</v>
      </c>
      <c r="E39" s="14">
        <v>1</v>
      </c>
      <c r="F39" s="14">
        <v>14</v>
      </c>
      <c r="G39" s="14" t="b">
        <v>0</v>
      </c>
      <c r="H39" s="14">
        <v>0</v>
      </c>
      <c r="I39" s="14">
        <v>3</v>
      </c>
      <c r="J39" s="14">
        <v>0.36</v>
      </c>
      <c r="K39">
        <f>VLOOKUP(A39,[1]dataset_2!B:H,2,FALSE)</f>
        <v>0</v>
      </c>
      <c r="L39">
        <f>VLOOKUP(A39,[1]dataset_2!B:H,3,FALSE)</f>
        <v>0.76</v>
      </c>
      <c r="M39">
        <f>VLOOKUP(A39,[1]dataset_2!B:H,4,FALSE)</f>
        <v>0.19400000000000001</v>
      </c>
      <c r="N39">
        <f>VLOOKUP(A39,[1]dataset_2!B:H,5,FALSE)</f>
        <v>4</v>
      </c>
      <c r="O39">
        <f>VLOOKUP(A39,[1]dataset_2!B:H,6,FALSE)</f>
        <v>55</v>
      </c>
      <c r="P39">
        <f>VLOOKUP(A39,[1]dataset_2!B:H,7,FALSE)</f>
        <v>59</v>
      </c>
      <c r="Q39" t="str">
        <f t="shared" si="0"/>
        <v>Weekend</v>
      </c>
      <c r="R39" t="str">
        <f t="shared" si="1"/>
        <v>Afternoon</v>
      </c>
      <c r="S39" t="str">
        <f t="shared" si="2"/>
        <v>Low</v>
      </c>
    </row>
    <row r="40" spans="1:19">
      <c r="A40" s="14">
        <v>39</v>
      </c>
      <c r="B40" s="15">
        <v>40545</v>
      </c>
      <c r="C40" s="14">
        <v>1</v>
      </c>
      <c r="D40" s="14">
        <v>0</v>
      </c>
      <c r="E40" s="14">
        <v>1</v>
      </c>
      <c r="F40" s="14">
        <v>15</v>
      </c>
      <c r="G40" s="14" t="b">
        <v>0</v>
      </c>
      <c r="H40" s="14">
        <v>0</v>
      </c>
      <c r="I40" s="14">
        <v>3</v>
      </c>
      <c r="J40" s="14">
        <v>0.34</v>
      </c>
      <c r="K40">
        <f>VLOOKUP(A40,[1]dataset_2!B:H,2,FALSE)</f>
        <v>0.33329999999999999</v>
      </c>
      <c r="L40">
        <f>VLOOKUP(A40,[1]dataset_2!B:H,3,FALSE)</f>
        <v>0.81</v>
      </c>
      <c r="M40">
        <f>VLOOKUP(A40,[1]dataset_2!B:H,4,FALSE)</f>
        <v>0.16420000000000001</v>
      </c>
      <c r="N40">
        <f>VLOOKUP(A40,[1]dataset_2!B:H,5,FALSE)</f>
        <v>19</v>
      </c>
      <c r="O40">
        <f>VLOOKUP(A40,[1]dataset_2!B:H,6,FALSE)</f>
        <v>55</v>
      </c>
      <c r="P40">
        <f>VLOOKUP(A40,[1]dataset_2!B:H,7,FALSE)</f>
        <v>74</v>
      </c>
      <c r="Q40" t="str">
        <f t="shared" si="0"/>
        <v>Weekend</v>
      </c>
      <c r="R40" t="str">
        <f t="shared" si="1"/>
        <v>Afternoon</v>
      </c>
      <c r="S40" t="str">
        <f t="shared" si="2"/>
        <v>Low</v>
      </c>
    </row>
    <row r="41" spans="1:19">
      <c r="A41" s="14">
        <v>40</v>
      </c>
      <c r="B41" s="15">
        <v>40545</v>
      </c>
      <c r="C41" s="14">
        <v>1</v>
      </c>
      <c r="D41" s="14">
        <v>0</v>
      </c>
      <c r="E41" s="14">
        <v>1</v>
      </c>
      <c r="F41" s="14">
        <v>16</v>
      </c>
      <c r="G41" s="14" t="b">
        <v>0</v>
      </c>
      <c r="H41" s="14">
        <v>0</v>
      </c>
      <c r="I41" s="14">
        <v>3</v>
      </c>
      <c r="J41" s="14">
        <v>0.34</v>
      </c>
      <c r="K41">
        <f>VLOOKUP(A41,[1]dataset_2!B:H,2,FALSE)</f>
        <v>0.33329999999999999</v>
      </c>
      <c r="L41">
        <f>VLOOKUP(A41,[1]dataset_2!B:H,3,FALSE)</f>
        <v>0.71</v>
      </c>
      <c r="M41">
        <f>VLOOKUP(A41,[1]dataset_2!B:H,4,FALSE)</f>
        <v>0.16420000000000001</v>
      </c>
      <c r="N41">
        <f>VLOOKUP(A41,[1]dataset_2!B:H,5,FALSE)</f>
        <v>9</v>
      </c>
      <c r="O41">
        <f>VLOOKUP(A41,[1]dataset_2!B:H,6,FALSE)</f>
        <v>67</v>
      </c>
      <c r="P41">
        <f>VLOOKUP(A41,[1]dataset_2!B:H,7,FALSE)</f>
        <v>76</v>
      </c>
      <c r="Q41" t="str">
        <f t="shared" si="0"/>
        <v>Weekend</v>
      </c>
      <c r="R41" t="str">
        <f t="shared" si="1"/>
        <v>Afternoon</v>
      </c>
      <c r="S41" t="str">
        <f t="shared" si="2"/>
        <v>Low</v>
      </c>
    </row>
    <row r="42" spans="1:19">
      <c r="A42" s="14">
        <v>41</v>
      </c>
      <c r="B42" s="15">
        <v>40545</v>
      </c>
      <c r="C42" s="14">
        <v>1</v>
      </c>
      <c r="D42" s="14">
        <v>0</v>
      </c>
      <c r="E42" s="14">
        <v>1</v>
      </c>
      <c r="F42" s="14">
        <v>17</v>
      </c>
      <c r="G42" s="14" t="b">
        <v>0</v>
      </c>
      <c r="H42" s="14">
        <v>0</v>
      </c>
      <c r="I42" s="14">
        <v>1</v>
      </c>
      <c r="J42" s="14">
        <v>0.34</v>
      </c>
      <c r="K42">
        <f>VLOOKUP(A42,[1]dataset_2!B:H,2,FALSE)</f>
        <v>0.33329999999999999</v>
      </c>
      <c r="L42">
        <f>VLOOKUP(A42,[1]dataset_2!B:H,3,FALSE)</f>
        <v>0.56999999999999995</v>
      </c>
      <c r="M42">
        <f>VLOOKUP(A42,[1]dataset_2!B:H,4,FALSE)</f>
        <v>0.19400000000000001</v>
      </c>
      <c r="N42">
        <f>VLOOKUP(A42,[1]dataset_2!B:H,5,FALSE)</f>
        <v>7</v>
      </c>
      <c r="O42">
        <f>VLOOKUP(A42,[1]dataset_2!B:H,6,FALSE)</f>
        <v>58</v>
      </c>
      <c r="P42">
        <f>VLOOKUP(A42,[1]dataset_2!B:H,7,FALSE)</f>
        <v>65</v>
      </c>
      <c r="Q42" t="str">
        <f t="shared" si="0"/>
        <v>Weekend</v>
      </c>
      <c r="R42" t="str">
        <f t="shared" si="1"/>
        <v>Afternoon</v>
      </c>
      <c r="S42" t="str">
        <f t="shared" si="2"/>
        <v>Low</v>
      </c>
    </row>
    <row r="43" spans="1:19">
      <c r="A43" s="14">
        <v>42</v>
      </c>
      <c r="B43" s="15">
        <v>40545</v>
      </c>
      <c r="C43" s="14">
        <v>1</v>
      </c>
      <c r="D43" s="14">
        <v>0</v>
      </c>
      <c r="E43" s="14">
        <v>1</v>
      </c>
      <c r="F43" s="14">
        <v>18</v>
      </c>
      <c r="G43" s="14" t="b">
        <v>0</v>
      </c>
      <c r="H43" s="14">
        <v>0</v>
      </c>
      <c r="I43" s="14">
        <v>2</v>
      </c>
      <c r="J43" s="14">
        <v>0.36</v>
      </c>
      <c r="K43">
        <f>VLOOKUP(A43,[1]dataset_2!B:H,2,FALSE)</f>
        <v>0.33329999999999999</v>
      </c>
      <c r="L43">
        <f>VLOOKUP(A43,[1]dataset_2!B:H,3,FALSE)</f>
        <v>0.46</v>
      </c>
      <c r="M43">
        <f>VLOOKUP(A43,[1]dataset_2!B:H,4,FALSE)</f>
        <v>0.32840000000000003</v>
      </c>
      <c r="N43">
        <f>VLOOKUP(A43,[1]dataset_2!B:H,5,FALSE)</f>
        <v>10</v>
      </c>
      <c r="O43">
        <f>VLOOKUP(A43,[1]dataset_2!B:H,6,FALSE)</f>
        <v>43</v>
      </c>
      <c r="P43">
        <f>VLOOKUP(A43,[1]dataset_2!B:H,7,FALSE)</f>
        <v>53</v>
      </c>
      <c r="Q43" t="str">
        <f t="shared" si="0"/>
        <v>Weekend</v>
      </c>
      <c r="R43" t="str">
        <f t="shared" si="1"/>
        <v>Evening</v>
      </c>
      <c r="S43" t="str">
        <f t="shared" si="2"/>
        <v>Low</v>
      </c>
    </row>
    <row r="44" spans="1:19">
      <c r="A44" s="14">
        <v>43</v>
      </c>
      <c r="B44" s="15">
        <v>40545</v>
      </c>
      <c r="C44" s="14">
        <v>1</v>
      </c>
      <c r="D44" s="14">
        <v>0</v>
      </c>
      <c r="E44" s="14">
        <v>1</v>
      </c>
      <c r="F44" s="14">
        <v>19</v>
      </c>
      <c r="G44" s="14" t="b">
        <v>0</v>
      </c>
      <c r="H44" s="14">
        <v>0</v>
      </c>
      <c r="I44" s="14">
        <v>1</v>
      </c>
      <c r="J44" s="14">
        <v>0.32</v>
      </c>
      <c r="K44">
        <f>VLOOKUP(A44,[1]dataset_2!B:H,2,FALSE)</f>
        <v>0.28789999999999999</v>
      </c>
      <c r="L44">
        <f>VLOOKUP(A44,[1]dataset_2!B:H,3,FALSE)</f>
        <v>0.42</v>
      </c>
      <c r="M44">
        <f>VLOOKUP(A44,[1]dataset_2!B:H,4,FALSE)</f>
        <v>0.44779999999999998</v>
      </c>
      <c r="N44">
        <f>VLOOKUP(A44,[1]dataset_2!B:H,5,FALSE)</f>
        <v>1</v>
      </c>
      <c r="O44">
        <f>VLOOKUP(A44,[1]dataset_2!B:H,6,FALSE)</f>
        <v>29</v>
      </c>
      <c r="P44">
        <f>VLOOKUP(A44,[1]dataset_2!B:H,7,FALSE)</f>
        <v>30</v>
      </c>
      <c r="Q44" t="str">
        <f t="shared" si="0"/>
        <v>Weekend</v>
      </c>
      <c r="R44" t="str">
        <f t="shared" si="1"/>
        <v>Evening</v>
      </c>
      <c r="S44" t="str">
        <f t="shared" si="2"/>
        <v>Low</v>
      </c>
    </row>
    <row r="45" spans="1:19">
      <c r="A45" s="14">
        <v>44</v>
      </c>
      <c r="B45" s="15">
        <v>40545</v>
      </c>
      <c r="C45" s="14">
        <v>1</v>
      </c>
      <c r="D45" s="14">
        <v>0</v>
      </c>
      <c r="E45" s="14">
        <v>1</v>
      </c>
      <c r="F45" s="14">
        <v>20</v>
      </c>
      <c r="G45" s="14" t="b">
        <v>0</v>
      </c>
      <c r="H45" s="14">
        <v>0</v>
      </c>
      <c r="I45" s="14">
        <v>1</v>
      </c>
      <c r="J45" s="14">
        <v>0.3</v>
      </c>
      <c r="K45">
        <f>VLOOKUP(A45,[1]dataset_2!B:H,2,FALSE)</f>
        <v>0</v>
      </c>
      <c r="L45">
        <f>VLOOKUP(A45,[1]dataset_2!B:H,3,FALSE)</f>
        <v>0.39</v>
      </c>
      <c r="M45">
        <f>VLOOKUP(A45,[1]dataset_2!B:H,4,FALSE)</f>
        <v>0.35820000000000002</v>
      </c>
      <c r="N45">
        <f>VLOOKUP(A45,[1]dataset_2!B:H,5,FALSE)</f>
        <v>5</v>
      </c>
      <c r="O45">
        <f>VLOOKUP(A45,[1]dataset_2!B:H,6,FALSE)</f>
        <v>17</v>
      </c>
      <c r="P45">
        <f>VLOOKUP(A45,[1]dataset_2!B:H,7,FALSE)</f>
        <v>22</v>
      </c>
      <c r="Q45" t="str">
        <f t="shared" si="0"/>
        <v>Weekend</v>
      </c>
      <c r="R45" t="str">
        <f t="shared" si="1"/>
        <v>Evening</v>
      </c>
      <c r="S45" t="str">
        <f t="shared" si="2"/>
        <v>Low</v>
      </c>
    </row>
    <row r="46" spans="1:19">
      <c r="A46" s="14">
        <v>45</v>
      </c>
      <c r="B46" s="15">
        <v>40545</v>
      </c>
      <c r="C46" s="14">
        <v>1</v>
      </c>
      <c r="D46" s="14">
        <v>0</v>
      </c>
      <c r="E46" s="14">
        <v>1</v>
      </c>
      <c r="F46" s="14">
        <v>21</v>
      </c>
      <c r="G46" s="14" t="b">
        <v>0</v>
      </c>
      <c r="H46" s="14">
        <v>0</v>
      </c>
      <c r="I46" s="14">
        <v>1</v>
      </c>
      <c r="J46" s="14">
        <v>0.26</v>
      </c>
      <c r="K46">
        <f>VLOOKUP(A46,[1]dataset_2!B:H,2,FALSE)</f>
        <v>0.2273</v>
      </c>
      <c r="L46">
        <f>VLOOKUP(A46,[1]dataset_2!B:H,3,FALSE)</f>
        <v>0.44</v>
      </c>
      <c r="M46">
        <f>VLOOKUP(A46,[1]dataset_2!B:H,4,FALSE)</f>
        <v>0.32840000000000003</v>
      </c>
      <c r="N46">
        <f>VLOOKUP(A46,[1]dataset_2!B:H,5,FALSE)</f>
        <v>11</v>
      </c>
      <c r="O46">
        <f>VLOOKUP(A46,[1]dataset_2!B:H,6,FALSE)</f>
        <v>20</v>
      </c>
      <c r="P46">
        <f>VLOOKUP(A46,[1]dataset_2!B:H,7,FALSE)</f>
        <v>31</v>
      </c>
      <c r="Q46" t="str">
        <f t="shared" si="0"/>
        <v>Weekend</v>
      </c>
      <c r="R46" t="str">
        <f t="shared" si="1"/>
        <v>Evening</v>
      </c>
      <c r="S46" t="str">
        <f t="shared" si="2"/>
        <v>Low</v>
      </c>
    </row>
    <row r="47" spans="1:19">
      <c r="A47" s="14">
        <v>46</v>
      </c>
      <c r="B47" s="15">
        <v>40545</v>
      </c>
      <c r="C47" s="14">
        <v>1</v>
      </c>
      <c r="D47" s="14">
        <v>0</v>
      </c>
      <c r="E47" s="14">
        <v>1</v>
      </c>
      <c r="F47" s="14">
        <v>22</v>
      </c>
      <c r="G47" s="14" t="b">
        <v>0</v>
      </c>
      <c r="H47" s="14">
        <v>0</v>
      </c>
      <c r="I47" s="14">
        <v>1</v>
      </c>
      <c r="J47" s="14">
        <v>0.24</v>
      </c>
      <c r="K47">
        <f>VLOOKUP(A47,[1]dataset_2!B:H,2,FALSE)</f>
        <v>0.21210000000000001</v>
      </c>
      <c r="L47">
        <f>VLOOKUP(A47,[1]dataset_2!B:H,3,FALSE)</f>
        <v>0.44</v>
      </c>
      <c r="M47">
        <f>VLOOKUP(A47,[1]dataset_2!B:H,4,FALSE)</f>
        <v>0.29849999999999999</v>
      </c>
      <c r="N47">
        <f>VLOOKUP(A47,[1]dataset_2!B:H,5,FALSE)</f>
        <v>0</v>
      </c>
      <c r="O47">
        <f>VLOOKUP(A47,[1]dataset_2!B:H,6,FALSE)</f>
        <v>9</v>
      </c>
      <c r="P47">
        <f>VLOOKUP(A47,[1]dataset_2!B:H,7,FALSE)</f>
        <v>9</v>
      </c>
      <c r="Q47" t="str">
        <f t="shared" si="0"/>
        <v>Weekend</v>
      </c>
      <c r="R47" t="str">
        <f t="shared" si="1"/>
        <v>Evening</v>
      </c>
      <c r="S47" t="str">
        <f t="shared" si="2"/>
        <v>Low</v>
      </c>
    </row>
    <row r="48" spans="1:19">
      <c r="A48" s="14">
        <v>47</v>
      </c>
      <c r="B48" s="15">
        <v>40545</v>
      </c>
      <c r="C48" s="14">
        <v>1</v>
      </c>
      <c r="D48" s="14">
        <v>0</v>
      </c>
      <c r="E48" s="14">
        <v>1</v>
      </c>
      <c r="F48" s="14">
        <v>23</v>
      </c>
      <c r="G48" s="14" t="b">
        <v>0</v>
      </c>
      <c r="H48" s="14">
        <v>0</v>
      </c>
      <c r="I48" s="14">
        <v>1</v>
      </c>
      <c r="J48" s="14">
        <v>0.22</v>
      </c>
      <c r="K48">
        <f>VLOOKUP(A48,[1]dataset_2!B:H,2,FALSE)</f>
        <v>0.2273</v>
      </c>
      <c r="L48">
        <f>VLOOKUP(A48,[1]dataset_2!B:H,3,FALSE)</f>
        <v>0.47</v>
      </c>
      <c r="M48">
        <f>VLOOKUP(A48,[1]dataset_2!B:H,4,FALSE)</f>
        <v>0.16420000000000001</v>
      </c>
      <c r="N48">
        <f>VLOOKUP(A48,[1]dataset_2!B:H,5,FALSE)</f>
        <v>0</v>
      </c>
      <c r="O48">
        <f>VLOOKUP(A48,[1]dataset_2!B:H,6,FALSE)</f>
        <v>8</v>
      </c>
      <c r="P48">
        <f>VLOOKUP(A48,[1]dataset_2!B:H,7,FALSE)</f>
        <v>8</v>
      </c>
      <c r="Q48" t="str">
        <f t="shared" si="0"/>
        <v>Weekend</v>
      </c>
      <c r="R48" t="str">
        <f t="shared" si="1"/>
        <v>Evening</v>
      </c>
      <c r="S48" t="str">
        <f t="shared" si="2"/>
        <v>Low</v>
      </c>
    </row>
    <row r="49" spans="1:19">
      <c r="A49" s="14">
        <v>48</v>
      </c>
      <c r="B49" s="15">
        <v>40546</v>
      </c>
      <c r="C49" s="14">
        <v>1</v>
      </c>
      <c r="D49" s="14">
        <v>0</v>
      </c>
      <c r="E49" s="14">
        <v>1</v>
      </c>
      <c r="F49" s="14">
        <v>0</v>
      </c>
      <c r="G49" s="14" t="b">
        <v>0</v>
      </c>
      <c r="H49" s="14">
        <v>1</v>
      </c>
      <c r="I49" s="14">
        <v>1</v>
      </c>
      <c r="J49" s="14">
        <v>0.22</v>
      </c>
      <c r="K49">
        <f>VLOOKUP(A49,[1]dataset_2!B:H,2,FALSE)</f>
        <v>0.19700000000000001</v>
      </c>
      <c r="L49">
        <f>VLOOKUP(A49,[1]dataset_2!B:H,3,FALSE)</f>
        <v>0.44</v>
      </c>
      <c r="M49">
        <f>VLOOKUP(A49,[1]dataset_2!B:H,4,FALSE)</f>
        <v>0.35820000000000002</v>
      </c>
      <c r="N49">
        <f>VLOOKUP(A49,[1]dataset_2!B:H,5,FALSE)</f>
        <v>0</v>
      </c>
      <c r="O49">
        <f>VLOOKUP(A49,[1]dataset_2!B:H,6,FALSE)</f>
        <v>5</v>
      </c>
      <c r="P49">
        <f>VLOOKUP(A49,[1]dataset_2!B:H,7,FALSE)</f>
        <v>5</v>
      </c>
      <c r="Q49" t="str">
        <f t="shared" si="0"/>
        <v>Weekday</v>
      </c>
      <c r="R49" t="str">
        <f t="shared" si="1"/>
        <v>Morning</v>
      </c>
      <c r="S49" t="str">
        <f t="shared" si="2"/>
        <v>Low</v>
      </c>
    </row>
    <row r="50" spans="1:19">
      <c r="A50" s="14">
        <v>49</v>
      </c>
      <c r="B50" s="15">
        <v>40546</v>
      </c>
      <c r="C50" s="14">
        <v>1</v>
      </c>
      <c r="D50" s="14">
        <v>0</v>
      </c>
      <c r="E50" s="14">
        <v>1</v>
      </c>
      <c r="F50" s="14">
        <v>1</v>
      </c>
      <c r="G50" s="14" t="b">
        <v>0</v>
      </c>
      <c r="H50" s="14">
        <v>1</v>
      </c>
      <c r="I50" s="14">
        <v>1</v>
      </c>
      <c r="J50" s="14">
        <v>0.2</v>
      </c>
      <c r="K50">
        <f>VLOOKUP(A50,[1]dataset_2!B:H,2,FALSE)</f>
        <v>0</v>
      </c>
      <c r="L50">
        <f>VLOOKUP(A50,[1]dataset_2!B:H,3,FALSE)</f>
        <v>0.44</v>
      </c>
      <c r="M50">
        <f>VLOOKUP(A50,[1]dataset_2!B:H,4,FALSE)</f>
        <v>0.41789999999999999</v>
      </c>
      <c r="N50">
        <f>VLOOKUP(A50,[1]dataset_2!B:H,5,FALSE)</f>
        <v>0</v>
      </c>
      <c r="O50">
        <f>VLOOKUP(A50,[1]dataset_2!B:H,6,FALSE)</f>
        <v>2</v>
      </c>
      <c r="P50">
        <f>VLOOKUP(A50,[1]dataset_2!B:H,7,FALSE)</f>
        <v>2</v>
      </c>
      <c r="Q50" t="str">
        <f t="shared" si="0"/>
        <v>Weekday</v>
      </c>
      <c r="R50" t="str">
        <f t="shared" si="1"/>
        <v>Morning</v>
      </c>
      <c r="S50" t="str">
        <f t="shared" si="2"/>
        <v>Low</v>
      </c>
    </row>
    <row r="51" spans="1:19">
      <c r="A51" s="14">
        <v>50</v>
      </c>
      <c r="B51" s="15">
        <v>40546</v>
      </c>
      <c r="C51" s="14">
        <v>1</v>
      </c>
      <c r="D51" s="14">
        <v>0</v>
      </c>
      <c r="E51" s="14">
        <v>1</v>
      </c>
      <c r="F51" s="14">
        <v>4</v>
      </c>
      <c r="G51" s="14" t="b">
        <v>0</v>
      </c>
      <c r="H51" s="14">
        <v>1</v>
      </c>
      <c r="I51" s="14">
        <v>1</v>
      </c>
      <c r="J51" s="14">
        <v>0.16</v>
      </c>
      <c r="K51">
        <f>VLOOKUP(A51,[1]dataset_2!B:H,2,FALSE)</f>
        <v>0.13639999999999999</v>
      </c>
      <c r="L51">
        <f>VLOOKUP(A51,[1]dataset_2!B:H,3,FALSE)</f>
        <v>0.47</v>
      </c>
      <c r="M51">
        <f>VLOOKUP(A51,[1]dataset_2!B:H,4,FALSE)</f>
        <v>0.3881</v>
      </c>
      <c r="N51">
        <f>VLOOKUP(A51,[1]dataset_2!B:H,5,FALSE)</f>
        <v>0</v>
      </c>
      <c r="O51">
        <f>VLOOKUP(A51,[1]dataset_2!B:H,6,FALSE)</f>
        <v>1</v>
      </c>
      <c r="P51">
        <f>VLOOKUP(A51,[1]dataset_2!B:H,7,FALSE)</f>
        <v>1</v>
      </c>
      <c r="Q51" t="str">
        <f t="shared" si="0"/>
        <v>Weekday</v>
      </c>
      <c r="R51" t="str">
        <f t="shared" si="1"/>
        <v>Morning</v>
      </c>
      <c r="S51" t="str">
        <f t="shared" si="2"/>
        <v>Low</v>
      </c>
    </row>
    <row r="52" spans="1:19">
      <c r="A52" s="14">
        <v>51</v>
      </c>
      <c r="B52" s="15">
        <v>40546</v>
      </c>
      <c r="C52" s="14">
        <v>1</v>
      </c>
      <c r="D52" s="14">
        <v>0</v>
      </c>
      <c r="E52" s="14">
        <v>1</v>
      </c>
      <c r="F52" s="14">
        <v>5</v>
      </c>
      <c r="G52" s="14" t="b">
        <v>0</v>
      </c>
      <c r="H52" s="14">
        <v>1</v>
      </c>
      <c r="I52" s="14">
        <v>1</v>
      </c>
      <c r="J52" s="14">
        <v>0.16</v>
      </c>
      <c r="K52">
        <f>VLOOKUP(A52,[1]dataset_2!B:H,2,FALSE)</f>
        <v>0.13639999999999999</v>
      </c>
      <c r="L52">
        <f>VLOOKUP(A52,[1]dataset_2!B:H,3,FALSE)</f>
        <v>0.47</v>
      </c>
      <c r="M52">
        <f>VLOOKUP(A52,[1]dataset_2!B:H,4,FALSE)</f>
        <v>0.28360000000000002</v>
      </c>
      <c r="N52">
        <f>VLOOKUP(A52,[1]dataset_2!B:H,5,FALSE)</f>
        <v>0</v>
      </c>
      <c r="O52">
        <f>VLOOKUP(A52,[1]dataset_2!B:H,6,FALSE)</f>
        <v>3</v>
      </c>
      <c r="P52">
        <f>VLOOKUP(A52,[1]dataset_2!B:H,7,FALSE)</f>
        <v>3</v>
      </c>
      <c r="Q52" t="str">
        <f t="shared" si="0"/>
        <v>Weekday</v>
      </c>
      <c r="R52" t="str">
        <f t="shared" si="1"/>
        <v>Morning</v>
      </c>
      <c r="S52" t="str">
        <f t="shared" si="2"/>
        <v>Low</v>
      </c>
    </row>
    <row r="53" spans="1:19">
      <c r="A53" s="14">
        <v>52</v>
      </c>
      <c r="B53" s="15">
        <v>40546</v>
      </c>
      <c r="C53" s="14">
        <v>1</v>
      </c>
      <c r="D53" s="14">
        <v>0</v>
      </c>
      <c r="E53" s="14">
        <v>1</v>
      </c>
      <c r="F53" s="14">
        <v>6</v>
      </c>
      <c r="G53" s="14" t="b">
        <v>0</v>
      </c>
      <c r="H53" s="14">
        <v>1</v>
      </c>
      <c r="I53" s="14">
        <v>1</v>
      </c>
      <c r="J53" s="14">
        <v>0.14000000000000001</v>
      </c>
      <c r="K53">
        <f>VLOOKUP(A53,[1]dataset_2!B:H,2,FALSE)</f>
        <v>0.1061</v>
      </c>
      <c r="L53">
        <f>VLOOKUP(A53,[1]dataset_2!B:H,3,FALSE)</f>
        <v>0.5</v>
      </c>
      <c r="M53">
        <f>VLOOKUP(A53,[1]dataset_2!B:H,4,FALSE)</f>
        <v>0.3881</v>
      </c>
      <c r="N53">
        <f>VLOOKUP(A53,[1]dataset_2!B:H,5,FALSE)</f>
        <v>0</v>
      </c>
      <c r="O53">
        <f>VLOOKUP(A53,[1]dataset_2!B:H,6,FALSE)</f>
        <v>30</v>
      </c>
      <c r="P53">
        <f>VLOOKUP(A53,[1]dataset_2!B:H,7,FALSE)</f>
        <v>30</v>
      </c>
      <c r="Q53" t="str">
        <f t="shared" si="0"/>
        <v>Weekday</v>
      </c>
      <c r="R53" t="str">
        <f t="shared" si="1"/>
        <v>Morning</v>
      </c>
      <c r="S53" t="str">
        <f t="shared" si="2"/>
        <v>Low</v>
      </c>
    </row>
    <row r="54" spans="1:19">
      <c r="A54" s="14">
        <v>53</v>
      </c>
      <c r="B54" s="15">
        <v>40546</v>
      </c>
      <c r="C54" s="14">
        <v>1</v>
      </c>
      <c r="D54" s="14">
        <v>0</v>
      </c>
      <c r="E54" s="14">
        <v>1</v>
      </c>
      <c r="F54" s="14">
        <v>7</v>
      </c>
      <c r="G54" s="14" t="b">
        <v>0</v>
      </c>
      <c r="H54" s="14">
        <v>1</v>
      </c>
      <c r="I54" s="14">
        <v>1</v>
      </c>
      <c r="J54" s="14">
        <v>0.14000000000000001</v>
      </c>
      <c r="K54">
        <f>VLOOKUP(A54,[1]dataset_2!B:H,2,FALSE)</f>
        <v>0.13639999999999999</v>
      </c>
      <c r="L54">
        <f>VLOOKUP(A54,[1]dataset_2!B:H,3,FALSE)</f>
        <v>0.5</v>
      </c>
      <c r="M54">
        <f>VLOOKUP(A54,[1]dataset_2!B:H,4,FALSE)</f>
        <v>0.19400000000000001</v>
      </c>
      <c r="N54">
        <f>VLOOKUP(A54,[1]dataset_2!B:H,5,FALSE)</f>
        <v>1</v>
      </c>
      <c r="O54">
        <f>VLOOKUP(A54,[1]dataset_2!B:H,6,FALSE)</f>
        <v>63</v>
      </c>
      <c r="P54">
        <f>VLOOKUP(A54,[1]dataset_2!B:H,7,FALSE)</f>
        <v>64</v>
      </c>
      <c r="Q54" t="str">
        <f t="shared" si="0"/>
        <v>Weekday</v>
      </c>
      <c r="R54" t="str">
        <f t="shared" si="1"/>
        <v>Morning</v>
      </c>
      <c r="S54" t="str">
        <f t="shared" si="2"/>
        <v>Low</v>
      </c>
    </row>
    <row r="55" spans="1:19">
      <c r="A55" s="14">
        <v>54</v>
      </c>
      <c r="B55" s="15">
        <v>40546</v>
      </c>
      <c r="C55" s="14">
        <v>1</v>
      </c>
      <c r="D55" s="14">
        <v>0</v>
      </c>
      <c r="E55" s="14">
        <v>1</v>
      </c>
      <c r="F55" s="14">
        <v>8</v>
      </c>
      <c r="G55" s="14" t="b">
        <v>0</v>
      </c>
      <c r="H55" s="14">
        <v>1</v>
      </c>
      <c r="I55" s="14">
        <v>1</v>
      </c>
      <c r="J55" s="14">
        <v>0.14000000000000001</v>
      </c>
      <c r="K55">
        <f>VLOOKUP(A55,[1]dataset_2!B:H,2,FALSE)</f>
        <v>0.1212</v>
      </c>
      <c r="L55">
        <f>VLOOKUP(A55,[1]dataset_2!B:H,3,FALSE)</f>
        <v>0.5</v>
      </c>
      <c r="M55">
        <f>VLOOKUP(A55,[1]dataset_2!B:H,4,FALSE)</f>
        <v>0.28360000000000002</v>
      </c>
      <c r="N55">
        <f>VLOOKUP(A55,[1]dataset_2!B:H,5,FALSE)</f>
        <v>1</v>
      </c>
      <c r="O55">
        <f>VLOOKUP(A55,[1]dataset_2!B:H,6,FALSE)</f>
        <v>153</v>
      </c>
      <c r="P55">
        <f>VLOOKUP(A55,[1]dataset_2!B:H,7,FALSE)</f>
        <v>154</v>
      </c>
      <c r="Q55" t="str">
        <f t="shared" si="0"/>
        <v>Weekday</v>
      </c>
      <c r="R55" t="str">
        <f t="shared" si="1"/>
        <v>Morning</v>
      </c>
      <c r="S55" t="str">
        <f t="shared" si="2"/>
        <v>High</v>
      </c>
    </row>
    <row r="56" spans="1:19">
      <c r="A56" s="14">
        <v>55</v>
      </c>
      <c r="B56" s="15">
        <v>40546</v>
      </c>
      <c r="C56" s="14">
        <v>1</v>
      </c>
      <c r="D56" s="14">
        <v>0</v>
      </c>
      <c r="E56" s="14">
        <v>1</v>
      </c>
      <c r="F56" s="14">
        <v>9</v>
      </c>
      <c r="G56" s="14" t="b">
        <v>0</v>
      </c>
      <c r="H56" s="14">
        <v>1</v>
      </c>
      <c r="I56" s="14">
        <v>1</v>
      </c>
      <c r="J56" s="14">
        <v>0.16</v>
      </c>
      <c r="K56">
        <f>VLOOKUP(A56,[1]dataset_2!B:H,2,FALSE)</f>
        <v>0.13639999999999999</v>
      </c>
      <c r="L56">
        <f>VLOOKUP(A56,[1]dataset_2!B:H,3,FALSE)</f>
        <v>0.43</v>
      </c>
      <c r="M56">
        <f>VLOOKUP(A56,[1]dataset_2!B:H,4,FALSE)</f>
        <v>0.3881</v>
      </c>
      <c r="N56">
        <f>VLOOKUP(A56,[1]dataset_2!B:H,5,FALSE)</f>
        <v>7</v>
      </c>
      <c r="O56">
        <f>VLOOKUP(A56,[1]dataset_2!B:H,6,FALSE)</f>
        <v>81</v>
      </c>
      <c r="P56">
        <f>VLOOKUP(A56,[1]dataset_2!B:H,7,FALSE)</f>
        <v>88</v>
      </c>
      <c r="Q56" t="str">
        <f t="shared" si="0"/>
        <v>Weekday</v>
      </c>
      <c r="R56" t="str">
        <f t="shared" si="1"/>
        <v>Morning</v>
      </c>
      <c r="S56" t="str">
        <f t="shared" si="2"/>
        <v>Low</v>
      </c>
    </row>
    <row r="57" spans="1:19">
      <c r="A57" s="14">
        <v>56</v>
      </c>
      <c r="B57" s="15">
        <v>40546</v>
      </c>
      <c r="C57" s="14">
        <v>1</v>
      </c>
      <c r="D57" s="14">
        <v>0</v>
      </c>
      <c r="E57" s="14">
        <v>1</v>
      </c>
      <c r="F57" s="14">
        <v>10</v>
      </c>
      <c r="G57" s="14" t="b">
        <v>0</v>
      </c>
      <c r="H57" s="14">
        <v>1</v>
      </c>
      <c r="I57" s="14">
        <v>1</v>
      </c>
      <c r="J57" s="14">
        <v>0.18</v>
      </c>
      <c r="K57">
        <f>VLOOKUP(A57,[1]dataset_2!B:H,2,FALSE)</f>
        <v>0.16669999999999999</v>
      </c>
      <c r="L57">
        <f>VLOOKUP(A57,[1]dataset_2!B:H,3,FALSE)</f>
        <v>0.43</v>
      </c>
      <c r="M57">
        <f>VLOOKUP(A57,[1]dataset_2!B:H,4,FALSE)</f>
        <v>0.25369999999999998</v>
      </c>
      <c r="N57">
        <f>VLOOKUP(A57,[1]dataset_2!B:H,5,FALSE)</f>
        <v>11</v>
      </c>
      <c r="O57">
        <f>VLOOKUP(A57,[1]dataset_2!B:H,6,FALSE)</f>
        <v>33</v>
      </c>
      <c r="P57">
        <f>VLOOKUP(A57,[1]dataset_2!B:H,7,FALSE)</f>
        <v>44</v>
      </c>
      <c r="Q57" t="str">
        <f t="shared" si="0"/>
        <v>Weekday</v>
      </c>
      <c r="R57" t="str">
        <f t="shared" si="1"/>
        <v>Morning</v>
      </c>
      <c r="S57" t="str">
        <f t="shared" si="2"/>
        <v>Low</v>
      </c>
    </row>
    <row r="58" spans="1:19">
      <c r="A58" s="14">
        <v>57</v>
      </c>
      <c r="B58" s="15">
        <v>40546</v>
      </c>
      <c r="C58" s="14">
        <v>1</v>
      </c>
      <c r="D58" s="14">
        <v>0</v>
      </c>
      <c r="E58" s="14">
        <v>1</v>
      </c>
      <c r="F58" s="14">
        <v>11</v>
      </c>
      <c r="G58" s="14" t="b">
        <v>0</v>
      </c>
      <c r="H58" s="14">
        <v>1</v>
      </c>
      <c r="I58" s="14">
        <v>1</v>
      </c>
      <c r="J58" s="14">
        <v>0.2</v>
      </c>
      <c r="K58">
        <f>VLOOKUP(A58,[1]dataset_2!B:H,2,FALSE)</f>
        <v>0.18179999999999999</v>
      </c>
      <c r="L58">
        <f>VLOOKUP(A58,[1]dataset_2!B:H,3,FALSE)</f>
        <v>0.4</v>
      </c>
      <c r="M58">
        <f>VLOOKUP(A58,[1]dataset_2!B:H,4,FALSE)</f>
        <v>0.32840000000000003</v>
      </c>
      <c r="N58">
        <f>VLOOKUP(A58,[1]dataset_2!B:H,5,FALSE)</f>
        <v>10</v>
      </c>
      <c r="O58">
        <f>VLOOKUP(A58,[1]dataset_2!B:H,6,FALSE)</f>
        <v>41</v>
      </c>
      <c r="P58">
        <f>VLOOKUP(A58,[1]dataset_2!B:H,7,FALSE)</f>
        <v>51</v>
      </c>
      <c r="Q58" t="str">
        <f t="shared" si="0"/>
        <v>Weekday</v>
      </c>
      <c r="R58" t="str">
        <f t="shared" si="1"/>
        <v>Morning</v>
      </c>
      <c r="S58" t="str">
        <f t="shared" si="2"/>
        <v>Low</v>
      </c>
    </row>
    <row r="59" spans="1:19">
      <c r="A59" s="14">
        <v>58</v>
      </c>
      <c r="B59" s="15">
        <v>40546</v>
      </c>
      <c r="C59" s="14">
        <v>1</v>
      </c>
      <c r="D59" s="14">
        <v>0</v>
      </c>
      <c r="E59" s="14">
        <v>1</v>
      </c>
      <c r="F59" s="14">
        <v>12</v>
      </c>
      <c r="G59" s="14" t="b">
        <v>0</v>
      </c>
      <c r="H59" s="14">
        <v>1</v>
      </c>
      <c r="I59" s="14">
        <v>1</v>
      </c>
      <c r="J59" s="14">
        <v>0.22</v>
      </c>
      <c r="K59">
        <f>VLOOKUP(A59,[1]dataset_2!B:H,2,FALSE)</f>
        <v>0.21210000000000001</v>
      </c>
      <c r="L59">
        <f>VLOOKUP(A59,[1]dataset_2!B:H,3,FALSE)</f>
        <v>0.35</v>
      </c>
      <c r="M59">
        <f>VLOOKUP(A59,[1]dataset_2!B:H,4,FALSE)</f>
        <v>0.29849999999999999</v>
      </c>
      <c r="N59">
        <f>VLOOKUP(A59,[1]dataset_2!B:H,5,FALSE)</f>
        <v>13</v>
      </c>
      <c r="O59">
        <f>VLOOKUP(A59,[1]dataset_2!B:H,6,FALSE)</f>
        <v>48</v>
      </c>
      <c r="P59">
        <f>VLOOKUP(A59,[1]dataset_2!B:H,7,FALSE)</f>
        <v>61</v>
      </c>
      <c r="Q59" t="str">
        <f t="shared" si="0"/>
        <v>Weekday</v>
      </c>
      <c r="R59" t="str">
        <f t="shared" si="1"/>
        <v>Afternoon</v>
      </c>
      <c r="S59" t="str">
        <f t="shared" si="2"/>
        <v>Low</v>
      </c>
    </row>
    <row r="60" spans="1:19">
      <c r="A60" s="14">
        <v>59</v>
      </c>
      <c r="B60" s="15">
        <v>40546</v>
      </c>
      <c r="C60" s="14">
        <v>1</v>
      </c>
      <c r="D60" s="14">
        <v>0</v>
      </c>
      <c r="E60" s="14">
        <v>1</v>
      </c>
      <c r="F60" s="14">
        <v>13</v>
      </c>
      <c r="G60" s="14" t="b">
        <v>0</v>
      </c>
      <c r="H60" s="14">
        <v>1</v>
      </c>
      <c r="I60" s="14">
        <v>1</v>
      </c>
      <c r="J60" s="14">
        <v>0.24</v>
      </c>
      <c r="K60">
        <f>VLOOKUP(A60,[1]dataset_2!B:H,2,FALSE)</f>
        <v>0</v>
      </c>
      <c r="L60">
        <f>VLOOKUP(A60,[1]dataset_2!B:H,3,FALSE)</f>
        <v>0.35</v>
      </c>
      <c r="M60">
        <f>VLOOKUP(A60,[1]dataset_2!B:H,4,FALSE)</f>
        <v>0.28360000000000002</v>
      </c>
      <c r="N60">
        <f>VLOOKUP(A60,[1]dataset_2!B:H,5,FALSE)</f>
        <v>8</v>
      </c>
      <c r="O60">
        <f>VLOOKUP(A60,[1]dataset_2!B:H,6,FALSE)</f>
        <v>53</v>
      </c>
      <c r="P60">
        <f>VLOOKUP(A60,[1]dataset_2!B:H,7,FALSE)</f>
        <v>61</v>
      </c>
      <c r="Q60" t="str">
        <f t="shared" si="0"/>
        <v>Weekday</v>
      </c>
      <c r="R60" t="str">
        <f t="shared" si="1"/>
        <v>Afternoon</v>
      </c>
      <c r="S60" t="str">
        <f t="shared" si="2"/>
        <v>Low</v>
      </c>
    </row>
    <row r="61" spans="1:19">
      <c r="A61" s="14">
        <v>60</v>
      </c>
      <c r="B61" s="15">
        <v>40546</v>
      </c>
      <c r="C61" s="14">
        <v>1</v>
      </c>
      <c r="D61" s="14">
        <v>0</v>
      </c>
      <c r="E61" s="14">
        <v>1</v>
      </c>
      <c r="F61" s="14">
        <v>14</v>
      </c>
      <c r="G61" s="14" t="b">
        <v>0</v>
      </c>
      <c r="H61" s="14">
        <v>1</v>
      </c>
      <c r="I61" s="14">
        <v>1</v>
      </c>
      <c r="J61" s="14">
        <v>0.26</v>
      </c>
      <c r="K61">
        <f>VLOOKUP(A61,[1]dataset_2!B:H,2,FALSE)</f>
        <v>0.2424</v>
      </c>
      <c r="L61">
        <f>VLOOKUP(A61,[1]dataset_2!B:H,3,FALSE)</f>
        <v>0.3</v>
      </c>
      <c r="M61">
        <f>VLOOKUP(A61,[1]dataset_2!B:H,4,FALSE)</f>
        <v>0.28360000000000002</v>
      </c>
      <c r="N61">
        <f>VLOOKUP(A61,[1]dataset_2!B:H,5,FALSE)</f>
        <v>11</v>
      </c>
      <c r="O61">
        <f>VLOOKUP(A61,[1]dataset_2!B:H,6,FALSE)</f>
        <v>66</v>
      </c>
      <c r="P61">
        <f>VLOOKUP(A61,[1]dataset_2!B:H,7,FALSE)</f>
        <v>77</v>
      </c>
      <c r="Q61" t="str">
        <f t="shared" si="0"/>
        <v>Weekday</v>
      </c>
      <c r="R61" t="str">
        <f t="shared" si="1"/>
        <v>Afternoon</v>
      </c>
      <c r="S61" t="str">
        <f t="shared" si="2"/>
        <v>Low</v>
      </c>
    </row>
    <row r="62" spans="1:19">
      <c r="A62" s="14">
        <v>61</v>
      </c>
      <c r="B62" s="15">
        <v>40546</v>
      </c>
      <c r="C62" s="14">
        <v>1</v>
      </c>
      <c r="D62" s="14">
        <v>0</v>
      </c>
      <c r="E62" s="14">
        <v>1</v>
      </c>
      <c r="F62" s="14">
        <v>15</v>
      </c>
      <c r="G62" s="14" t="b">
        <v>0</v>
      </c>
      <c r="H62" s="14">
        <v>1</v>
      </c>
      <c r="I62" s="14">
        <v>1</v>
      </c>
      <c r="J62" s="14">
        <v>0.26</v>
      </c>
      <c r="K62">
        <f>VLOOKUP(A62,[1]dataset_2!B:H,2,FALSE)</f>
        <v>0.2424</v>
      </c>
      <c r="L62">
        <f>VLOOKUP(A62,[1]dataset_2!B:H,3,FALSE)</f>
        <v>0.3</v>
      </c>
      <c r="M62">
        <f>VLOOKUP(A62,[1]dataset_2!B:H,4,FALSE)</f>
        <v>0.25369999999999998</v>
      </c>
      <c r="N62">
        <f>VLOOKUP(A62,[1]dataset_2!B:H,5,FALSE)</f>
        <v>14</v>
      </c>
      <c r="O62">
        <f>VLOOKUP(A62,[1]dataset_2!B:H,6,FALSE)</f>
        <v>58</v>
      </c>
      <c r="P62">
        <f>VLOOKUP(A62,[1]dataset_2!B:H,7,FALSE)</f>
        <v>72</v>
      </c>
      <c r="Q62" t="str">
        <f t="shared" si="0"/>
        <v>Weekday</v>
      </c>
      <c r="R62" t="str">
        <f t="shared" si="1"/>
        <v>Afternoon</v>
      </c>
      <c r="S62" t="str">
        <f t="shared" si="2"/>
        <v>Low</v>
      </c>
    </row>
    <row r="63" spans="1:19">
      <c r="A63" s="14">
        <v>62</v>
      </c>
      <c r="B63" s="15">
        <v>40546</v>
      </c>
      <c r="C63" s="14">
        <v>1</v>
      </c>
      <c r="D63" s="14">
        <v>0</v>
      </c>
      <c r="E63" s="14">
        <v>1</v>
      </c>
      <c r="F63" s="14">
        <v>16</v>
      </c>
      <c r="G63" s="14" t="b">
        <v>0</v>
      </c>
      <c r="H63" s="14">
        <v>1</v>
      </c>
      <c r="I63" s="14">
        <v>1</v>
      </c>
      <c r="J63" s="14">
        <v>0.26</v>
      </c>
      <c r="K63">
        <f>VLOOKUP(A63,[1]dataset_2!B:H,2,FALSE)</f>
        <v>0.2424</v>
      </c>
      <c r="L63">
        <f>VLOOKUP(A63,[1]dataset_2!B:H,3,FALSE)</f>
        <v>0.3</v>
      </c>
      <c r="M63">
        <f>VLOOKUP(A63,[1]dataset_2!B:H,4,FALSE)</f>
        <v>0.25369999999999998</v>
      </c>
      <c r="N63">
        <f>VLOOKUP(A63,[1]dataset_2!B:H,5,FALSE)</f>
        <v>9</v>
      </c>
      <c r="O63">
        <f>VLOOKUP(A63,[1]dataset_2!B:H,6,FALSE)</f>
        <v>67</v>
      </c>
      <c r="P63">
        <f>VLOOKUP(A63,[1]dataset_2!B:H,7,FALSE)</f>
        <v>76</v>
      </c>
      <c r="Q63" t="str">
        <f t="shared" si="0"/>
        <v>Weekday</v>
      </c>
      <c r="R63" t="str">
        <f t="shared" si="1"/>
        <v>Afternoon</v>
      </c>
      <c r="S63" t="str">
        <f t="shared" si="2"/>
        <v>Low</v>
      </c>
    </row>
    <row r="64" spans="1:19">
      <c r="A64" s="14">
        <v>63</v>
      </c>
      <c r="B64" s="15">
        <v>40546</v>
      </c>
      <c r="C64" s="14">
        <v>1</v>
      </c>
      <c r="D64" s="14">
        <v>0</v>
      </c>
      <c r="E64" s="14">
        <v>1</v>
      </c>
      <c r="F64" s="14">
        <v>17</v>
      </c>
      <c r="G64" s="14" t="b">
        <v>0</v>
      </c>
      <c r="H64" s="14">
        <v>1</v>
      </c>
      <c r="I64" s="14">
        <v>1</v>
      </c>
      <c r="J64" s="14">
        <v>0.24</v>
      </c>
      <c r="K64">
        <f>VLOOKUP(A64,[1]dataset_2!B:H,2,FALSE)</f>
        <v>0.2273</v>
      </c>
      <c r="L64">
        <f>VLOOKUP(A64,[1]dataset_2!B:H,3,FALSE)</f>
        <v>0.3</v>
      </c>
      <c r="M64">
        <f>VLOOKUP(A64,[1]dataset_2!B:H,4,FALSE)</f>
        <v>0.22389999999999999</v>
      </c>
      <c r="N64">
        <f>VLOOKUP(A64,[1]dataset_2!B:H,5,FALSE)</f>
        <v>11</v>
      </c>
      <c r="O64">
        <f>VLOOKUP(A64,[1]dataset_2!B:H,6,FALSE)</f>
        <v>146</v>
      </c>
      <c r="P64">
        <f>VLOOKUP(A64,[1]dataset_2!B:H,7,FALSE)</f>
        <v>157</v>
      </c>
      <c r="Q64" t="str">
        <f t="shared" si="0"/>
        <v>Weekday</v>
      </c>
      <c r="R64" t="str">
        <f t="shared" si="1"/>
        <v>Afternoon</v>
      </c>
      <c r="S64" t="str">
        <f t="shared" si="2"/>
        <v>High</v>
      </c>
    </row>
    <row r="65" spans="1:19">
      <c r="A65" s="14">
        <v>64</v>
      </c>
      <c r="B65" s="15">
        <v>40546</v>
      </c>
      <c r="C65" s="14">
        <v>1</v>
      </c>
      <c r="D65" s="14">
        <v>0</v>
      </c>
      <c r="E65" s="14">
        <v>1</v>
      </c>
      <c r="F65" s="14">
        <v>18</v>
      </c>
      <c r="G65" s="14" t="b">
        <v>0</v>
      </c>
      <c r="H65" s="14">
        <v>1</v>
      </c>
      <c r="I65" s="14">
        <v>1</v>
      </c>
      <c r="J65" s="14">
        <v>0.24</v>
      </c>
      <c r="K65">
        <f>VLOOKUP(A65,[1]dataset_2!B:H,2,FALSE)</f>
        <v>0.2576</v>
      </c>
      <c r="L65">
        <f>VLOOKUP(A65,[1]dataset_2!B:H,3,FALSE)</f>
        <v>0.32</v>
      </c>
      <c r="M65">
        <f>VLOOKUP(A65,[1]dataset_2!B:H,4,FALSE)</f>
        <v>0.1045</v>
      </c>
      <c r="N65">
        <f>VLOOKUP(A65,[1]dataset_2!B:H,5,FALSE)</f>
        <v>9</v>
      </c>
      <c r="O65">
        <f>VLOOKUP(A65,[1]dataset_2!B:H,6,FALSE)</f>
        <v>148</v>
      </c>
      <c r="P65">
        <f>VLOOKUP(A65,[1]dataset_2!B:H,7,FALSE)</f>
        <v>157</v>
      </c>
      <c r="Q65" t="str">
        <f t="shared" si="0"/>
        <v>Weekday</v>
      </c>
      <c r="R65" t="str">
        <f t="shared" si="1"/>
        <v>Evening</v>
      </c>
      <c r="S65" t="str">
        <f t="shared" si="2"/>
        <v>High</v>
      </c>
    </row>
    <row r="66" spans="1:19">
      <c r="A66" s="14">
        <v>65</v>
      </c>
      <c r="B66" s="15">
        <v>40546</v>
      </c>
      <c r="C66" s="14">
        <v>1</v>
      </c>
      <c r="D66" s="14">
        <v>0</v>
      </c>
      <c r="E66" s="14">
        <v>1</v>
      </c>
      <c r="F66" s="14">
        <v>19</v>
      </c>
      <c r="G66" s="14" t="b">
        <v>0</v>
      </c>
      <c r="H66" s="14">
        <v>1</v>
      </c>
      <c r="I66" s="14">
        <v>1</v>
      </c>
      <c r="J66" s="14">
        <v>0.2</v>
      </c>
      <c r="K66">
        <f>VLOOKUP(A66,[1]dataset_2!B:H,2,FALSE)</f>
        <v>0.2576</v>
      </c>
      <c r="L66">
        <f>VLOOKUP(A66,[1]dataset_2!B:H,3,FALSE)</f>
        <v>0.47</v>
      </c>
      <c r="M66">
        <f>VLOOKUP(A66,[1]dataset_2!B:H,4,FALSE)</f>
        <v>0</v>
      </c>
      <c r="N66">
        <f>VLOOKUP(A66,[1]dataset_2!B:H,5,FALSE)</f>
        <v>8</v>
      </c>
      <c r="O66">
        <f>VLOOKUP(A66,[1]dataset_2!B:H,6,FALSE)</f>
        <v>102</v>
      </c>
      <c r="P66">
        <f>VLOOKUP(A66,[1]dataset_2!B:H,7,FALSE)</f>
        <v>110</v>
      </c>
      <c r="Q66" t="str">
        <f t="shared" si="0"/>
        <v>Weekday</v>
      </c>
      <c r="R66" t="str">
        <f t="shared" si="1"/>
        <v>Evening</v>
      </c>
      <c r="S66" t="str">
        <f t="shared" si="2"/>
        <v>High</v>
      </c>
    </row>
    <row r="67" spans="1:19">
      <c r="A67" s="14">
        <v>66</v>
      </c>
      <c r="B67" s="15">
        <v>40546</v>
      </c>
      <c r="C67" s="14">
        <v>1</v>
      </c>
      <c r="D67" s="14">
        <v>0</v>
      </c>
      <c r="E67" s="14">
        <v>1</v>
      </c>
      <c r="F67" s="14">
        <v>20</v>
      </c>
      <c r="G67" s="14" t="b">
        <v>0</v>
      </c>
      <c r="H67" s="14">
        <v>1</v>
      </c>
      <c r="I67" s="14">
        <v>1</v>
      </c>
      <c r="J67" s="14">
        <v>0.2</v>
      </c>
      <c r="K67">
        <f>VLOOKUP(A67,[1]dataset_2!B:H,2,FALSE)</f>
        <v>0</v>
      </c>
      <c r="L67">
        <f>VLOOKUP(A67,[1]dataset_2!B:H,3,FALSE)</f>
        <v>0.47</v>
      </c>
      <c r="M67">
        <f>VLOOKUP(A67,[1]dataset_2!B:H,4,FALSE)</f>
        <v>0.1045</v>
      </c>
      <c r="N67">
        <f>VLOOKUP(A67,[1]dataset_2!B:H,5,FALSE)</f>
        <v>3</v>
      </c>
      <c r="O67">
        <f>VLOOKUP(A67,[1]dataset_2!B:H,6,FALSE)</f>
        <v>49</v>
      </c>
      <c r="P67">
        <f>VLOOKUP(A67,[1]dataset_2!B:H,7,FALSE)</f>
        <v>52</v>
      </c>
      <c r="Q67" t="str">
        <f t="shared" ref="Q67:Q130" si="3">IF(OR(H67=0,H67=6),"Weekend","Weekday")</f>
        <v>Weekday</v>
      </c>
      <c r="R67" t="str">
        <f t="shared" ref="R67:R130" si="4">IF(F67&lt;12,"Morning",IF(F67&lt;18,"Afternoon","Evening"))</f>
        <v>Evening</v>
      </c>
      <c r="S67" t="str">
        <f t="shared" ref="S67:S130" si="5">IF(P67&gt;100,"High","Low")</f>
        <v>Low</v>
      </c>
    </row>
    <row r="68" spans="1:19">
      <c r="A68" s="14">
        <v>67</v>
      </c>
      <c r="B68" s="15">
        <v>40546</v>
      </c>
      <c r="C68" s="14">
        <v>1</v>
      </c>
      <c r="D68" s="14">
        <v>0</v>
      </c>
      <c r="E68" s="14">
        <v>1</v>
      </c>
      <c r="F68" s="14">
        <v>21</v>
      </c>
      <c r="G68" s="14" t="b">
        <v>0</v>
      </c>
      <c r="H68" s="14">
        <v>1</v>
      </c>
      <c r="I68" s="14">
        <v>1</v>
      </c>
      <c r="J68" s="14">
        <v>0.18</v>
      </c>
      <c r="K68">
        <f>VLOOKUP(A68,[1]dataset_2!B:H,2,FALSE)</f>
        <v>0.19700000000000001</v>
      </c>
      <c r="L68">
        <f>VLOOKUP(A68,[1]dataset_2!B:H,3,FALSE)</f>
        <v>0.64</v>
      </c>
      <c r="M68">
        <f>VLOOKUP(A68,[1]dataset_2!B:H,4,FALSE)</f>
        <v>0.1343</v>
      </c>
      <c r="N68">
        <f>VLOOKUP(A68,[1]dataset_2!B:H,5,FALSE)</f>
        <v>3</v>
      </c>
      <c r="O68">
        <f>VLOOKUP(A68,[1]dataset_2!B:H,6,FALSE)</f>
        <v>49</v>
      </c>
      <c r="P68">
        <f>VLOOKUP(A68,[1]dataset_2!B:H,7,FALSE)</f>
        <v>52</v>
      </c>
      <c r="Q68" t="str">
        <f t="shared" si="3"/>
        <v>Weekday</v>
      </c>
      <c r="R68" t="str">
        <f t="shared" si="4"/>
        <v>Evening</v>
      </c>
      <c r="S68" t="str">
        <f t="shared" si="5"/>
        <v>Low</v>
      </c>
    </row>
    <row r="69" spans="1:19">
      <c r="A69" s="14">
        <v>68</v>
      </c>
      <c r="B69" s="15">
        <v>40546</v>
      </c>
      <c r="C69" s="14">
        <v>1</v>
      </c>
      <c r="D69" s="14">
        <v>0</v>
      </c>
      <c r="E69" s="14">
        <v>1</v>
      </c>
      <c r="F69" s="14">
        <v>22</v>
      </c>
      <c r="G69" s="14" t="b">
        <v>0</v>
      </c>
      <c r="H69" s="14">
        <v>1</v>
      </c>
      <c r="I69" s="14">
        <v>1</v>
      </c>
      <c r="J69" s="14">
        <v>0.14000000000000001</v>
      </c>
      <c r="K69">
        <f>VLOOKUP(A69,[1]dataset_2!B:H,2,FALSE)</f>
        <v>0.1515</v>
      </c>
      <c r="L69">
        <f>VLOOKUP(A69,[1]dataset_2!B:H,3,FALSE)</f>
        <v>0.69</v>
      </c>
      <c r="M69">
        <f>VLOOKUP(A69,[1]dataset_2!B:H,4,FALSE)</f>
        <v>0.1343</v>
      </c>
      <c r="N69">
        <f>VLOOKUP(A69,[1]dataset_2!B:H,5,FALSE)</f>
        <v>0</v>
      </c>
      <c r="O69">
        <f>VLOOKUP(A69,[1]dataset_2!B:H,6,FALSE)</f>
        <v>20</v>
      </c>
      <c r="P69">
        <f>VLOOKUP(A69,[1]dataset_2!B:H,7,FALSE)</f>
        <v>20</v>
      </c>
      <c r="Q69" t="str">
        <f t="shared" si="3"/>
        <v>Weekday</v>
      </c>
      <c r="R69" t="str">
        <f t="shared" si="4"/>
        <v>Evening</v>
      </c>
      <c r="S69" t="str">
        <f t="shared" si="5"/>
        <v>Low</v>
      </c>
    </row>
    <row r="70" spans="1:19">
      <c r="A70" s="14">
        <v>69</v>
      </c>
      <c r="B70" s="15">
        <v>40546</v>
      </c>
      <c r="C70" s="14">
        <v>1</v>
      </c>
      <c r="D70" s="14">
        <v>0</v>
      </c>
      <c r="E70" s="14">
        <v>1</v>
      </c>
      <c r="F70" s="14">
        <v>23</v>
      </c>
      <c r="G70" s="14" t="b">
        <v>0</v>
      </c>
      <c r="H70" s="14">
        <v>1</v>
      </c>
      <c r="I70" s="14">
        <v>1</v>
      </c>
      <c r="J70" s="14">
        <v>0.18</v>
      </c>
      <c r="K70">
        <f>VLOOKUP(A70,[1]dataset_2!B:H,2,FALSE)</f>
        <v>0.21210000000000001</v>
      </c>
      <c r="L70">
        <f>VLOOKUP(A70,[1]dataset_2!B:H,3,FALSE)</f>
        <v>0.55000000000000004</v>
      </c>
      <c r="M70">
        <f>VLOOKUP(A70,[1]dataset_2!B:H,4,FALSE)</f>
        <v>0.1045</v>
      </c>
      <c r="N70">
        <f>VLOOKUP(A70,[1]dataset_2!B:H,5,FALSE)</f>
        <v>1</v>
      </c>
      <c r="O70">
        <f>VLOOKUP(A70,[1]dataset_2!B:H,6,FALSE)</f>
        <v>11</v>
      </c>
      <c r="P70">
        <f>VLOOKUP(A70,[1]dataset_2!B:H,7,FALSE)</f>
        <v>12</v>
      </c>
      <c r="Q70" t="str">
        <f t="shared" si="3"/>
        <v>Weekday</v>
      </c>
      <c r="R70" t="str">
        <f t="shared" si="4"/>
        <v>Evening</v>
      </c>
      <c r="S70" t="str">
        <f t="shared" si="5"/>
        <v>Low</v>
      </c>
    </row>
    <row r="71" spans="1:19">
      <c r="A71" s="14">
        <v>70</v>
      </c>
      <c r="B71" s="15">
        <v>40547</v>
      </c>
      <c r="C71" s="14">
        <v>1</v>
      </c>
      <c r="D71" s="14">
        <v>0</v>
      </c>
      <c r="E71" s="14">
        <v>1</v>
      </c>
      <c r="F71" s="14">
        <v>0</v>
      </c>
      <c r="G71" s="14" t="b">
        <v>0</v>
      </c>
      <c r="H71" s="14">
        <v>2</v>
      </c>
      <c r="I71" s="14">
        <v>1</v>
      </c>
      <c r="J71" s="14">
        <v>0.16</v>
      </c>
      <c r="K71">
        <f>VLOOKUP(A71,[1]dataset_2!B:H,2,FALSE)</f>
        <v>0</v>
      </c>
      <c r="L71">
        <f>VLOOKUP(A71,[1]dataset_2!B:H,3,FALSE)</f>
        <v>0.55000000000000004</v>
      </c>
      <c r="M71">
        <f>VLOOKUP(A71,[1]dataset_2!B:H,4,FALSE)</f>
        <v>0.1045</v>
      </c>
      <c r="N71">
        <f>VLOOKUP(A71,[1]dataset_2!B:H,5,FALSE)</f>
        <v>0</v>
      </c>
      <c r="O71">
        <f>VLOOKUP(A71,[1]dataset_2!B:H,6,FALSE)</f>
        <v>5</v>
      </c>
      <c r="P71">
        <f>VLOOKUP(A71,[1]dataset_2!B:H,7,FALSE)</f>
        <v>5</v>
      </c>
      <c r="Q71" t="str">
        <f t="shared" si="3"/>
        <v>Weekday</v>
      </c>
      <c r="R71" t="str">
        <f t="shared" si="4"/>
        <v>Morning</v>
      </c>
      <c r="S71" t="str">
        <f t="shared" si="5"/>
        <v>Low</v>
      </c>
    </row>
    <row r="72" spans="1:19">
      <c r="A72" s="14">
        <v>71</v>
      </c>
      <c r="B72" s="15">
        <v>40547</v>
      </c>
      <c r="C72" s="14">
        <v>1</v>
      </c>
      <c r="D72" s="14">
        <v>0</v>
      </c>
      <c r="E72" s="14">
        <v>1</v>
      </c>
      <c r="F72" s="14">
        <v>1</v>
      </c>
      <c r="G72" s="14" t="b">
        <v>0</v>
      </c>
      <c r="H72" s="14">
        <v>2</v>
      </c>
      <c r="I72" s="14">
        <v>1</v>
      </c>
      <c r="J72" s="14">
        <v>0.16</v>
      </c>
      <c r="K72">
        <f>VLOOKUP(A72,[1]dataset_2!B:H,2,FALSE)</f>
        <v>0.18179999999999999</v>
      </c>
      <c r="L72">
        <f>VLOOKUP(A72,[1]dataset_2!B:H,3,FALSE)</f>
        <v>0.59</v>
      </c>
      <c r="M72">
        <f>VLOOKUP(A72,[1]dataset_2!B:H,4,FALSE)</f>
        <v>0.1045</v>
      </c>
      <c r="N72">
        <f>VLOOKUP(A72,[1]dataset_2!B:H,5,FALSE)</f>
        <v>0</v>
      </c>
      <c r="O72">
        <f>VLOOKUP(A72,[1]dataset_2!B:H,6,FALSE)</f>
        <v>2</v>
      </c>
      <c r="P72">
        <f>VLOOKUP(A72,[1]dataset_2!B:H,7,FALSE)</f>
        <v>2</v>
      </c>
      <c r="Q72" t="str">
        <f t="shared" si="3"/>
        <v>Weekday</v>
      </c>
      <c r="R72" t="str">
        <f t="shared" si="4"/>
        <v>Morning</v>
      </c>
      <c r="S72" t="str">
        <f t="shared" si="5"/>
        <v>Low</v>
      </c>
    </row>
    <row r="73" spans="1:19">
      <c r="A73" s="14">
        <v>72</v>
      </c>
      <c r="B73" s="15">
        <v>40547</v>
      </c>
      <c r="C73" s="14">
        <v>1</v>
      </c>
      <c r="D73" s="14">
        <v>0</v>
      </c>
      <c r="E73" s="14">
        <v>1</v>
      </c>
      <c r="F73" s="14">
        <v>2</v>
      </c>
      <c r="G73" s="14" t="b">
        <v>0</v>
      </c>
      <c r="H73" s="14">
        <v>2</v>
      </c>
      <c r="I73" s="14">
        <v>1</v>
      </c>
      <c r="J73" s="14">
        <v>0.14000000000000001</v>
      </c>
      <c r="K73">
        <f>VLOOKUP(A73,[1]dataset_2!B:H,2,FALSE)</f>
        <v>0.1515</v>
      </c>
      <c r="L73">
        <f>VLOOKUP(A73,[1]dataset_2!B:H,3,FALSE)</f>
        <v>0.63</v>
      </c>
      <c r="M73">
        <f>VLOOKUP(A73,[1]dataset_2!B:H,4,FALSE)</f>
        <v>0.1343</v>
      </c>
      <c r="N73">
        <f>VLOOKUP(A73,[1]dataset_2!B:H,5,FALSE)</f>
        <v>0</v>
      </c>
      <c r="O73">
        <f>VLOOKUP(A73,[1]dataset_2!B:H,6,FALSE)</f>
        <v>1</v>
      </c>
      <c r="P73">
        <f>VLOOKUP(A73,[1]dataset_2!B:H,7,FALSE)</f>
        <v>1</v>
      </c>
      <c r="Q73" t="str">
        <f t="shared" si="3"/>
        <v>Weekday</v>
      </c>
      <c r="R73" t="str">
        <f t="shared" si="4"/>
        <v>Morning</v>
      </c>
      <c r="S73" t="str">
        <f t="shared" si="5"/>
        <v>Low</v>
      </c>
    </row>
    <row r="74" spans="1:19">
      <c r="A74" s="14">
        <v>73</v>
      </c>
      <c r="B74" s="15">
        <v>40547</v>
      </c>
      <c r="C74" s="14">
        <v>1</v>
      </c>
      <c r="D74" s="14">
        <v>0</v>
      </c>
      <c r="E74" s="14">
        <v>1</v>
      </c>
      <c r="F74" s="14">
        <v>4</v>
      </c>
      <c r="G74" s="14" t="b">
        <v>0</v>
      </c>
      <c r="H74" s="14">
        <v>2</v>
      </c>
      <c r="I74" s="14">
        <v>1</v>
      </c>
      <c r="J74" s="14">
        <v>0.14000000000000001</v>
      </c>
      <c r="K74">
        <f>VLOOKUP(A74,[1]dataset_2!B:H,2,FALSE)</f>
        <v>0.18179999999999999</v>
      </c>
      <c r="L74">
        <f>VLOOKUP(A74,[1]dataset_2!B:H,3,FALSE)</f>
        <v>0.63</v>
      </c>
      <c r="M74">
        <f>VLOOKUP(A74,[1]dataset_2!B:H,4,FALSE)</f>
        <v>8.9599999999999999E-2</v>
      </c>
      <c r="N74">
        <f>VLOOKUP(A74,[1]dataset_2!B:H,5,FALSE)</f>
        <v>0</v>
      </c>
      <c r="O74">
        <f>VLOOKUP(A74,[1]dataset_2!B:H,6,FALSE)</f>
        <v>2</v>
      </c>
      <c r="P74">
        <f>VLOOKUP(A74,[1]dataset_2!B:H,7,FALSE)</f>
        <v>2</v>
      </c>
      <c r="Q74" t="str">
        <f t="shared" si="3"/>
        <v>Weekday</v>
      </c>
      <c r="R74" t="str">
        <f t="shared" si="4"/>
        <v>Morning</v>
      </c>
      <c r="S74" t="str">
        <f t="shared" si="5"/>
        <v>Low</v>
      </c>
    </row>
    <row r="75" spans="1:19">
      <c r="A75" s="14">
        <v>74</v>
      </c>
      <c r="B75" s="15">
        <v>40547</v>
      </c>
      <c r="C75" s="14">
        <v>1</v>
      </c>
      <c r="D75" s="14">
        <v>0</v>
      </c>
      <c r="E75" s="14">
        <v>1</v>
      </c>
      <c r="F75" s="14">
        <v>5</v>
      </c>
      <c r="G75" s="14" t="b">
        <v>0</v>
      </c>
      <c r="H75" s="14">
        <v>2</v>
      </c>
      <c r="I75" s="14">
        <v>1</v>
      </c>
      <c r="J75" s="14">
        <v>0.12</v>
      </c>
      <c r="K75">
        <f>VLOOKUP(A75,[1]dataset_2!B:H,2,FALSE)</f>
        <v>0.1515</v>
      </c>
      <c r="L75">
        <f>VLOOKUP(A75,[1]dataset_2!B:H,3,FALSE)</f>
        <v>0.68</v>
      </c>
      <c r="M75">
        <f>VLOOKUP(A75,[1]dataset_2!B:H,4,FALSE)</f>
        <v>0.1045</v>
      </c>
      <c r="N75">
        <f>VLOOKUP(A75,[1]dataset_2!B:H,5,FALSE)</f>
        <v>0</v>
      </c>
      <c r="O75">
        <f>VLOOKUP(A75,[1]dataset_2!B:H,6,FALSE)</f>
        <v>4</v>
      </c>
      <c r="P75">
        <f>VLOOKUP(A75,[1]dataset_2!B:H,7,FALSE)</f>
        <v>4</v>
      </c>
      <c r="Q75" t="str">
        <f t="shared" si="3"/>
        <v>Weekday</v>
      </c>
      <c r="R75" t="str">
        <f t="shared" si="4"/>
        <v>Morning</v>
      </c>
      <c r="S75" t="str">
        <f t="shared" si="5"/>
        <v>Low</v>
      </c>
    </row>
    <row r="76" spans="1:19">
      <c r="A76" s="14">
        <v>75</v>
      </c>
      <c r="B76" s="15">
        <v>40547</v>
      </c>
      <c r="C76" s="14">
        <v>1</v>
      </c>
      <c r="D76" s="14">
        <v>0</v>
      </c>
      <c r="E76" s="14">
        <v>1</v>
      </c>
      <c r="F76" s="14">
        <v>6</v>
      </c>
      <c r="G76" s="14" t="b">
        <v>0</v>
      </c>
      <c r="H76" s="14">
        <v>2</v>
      </c>
      <c r="I76" s="14">
        <v>1</v>
      </c>
      <c r="J76" s="14">
        <v>0.12</v>
      </c>
      <c r="K76">
        <f>VLOOKUP(A76,[1]dataset_2!B:H,2,FALSE)</f>
        <v>0.1515</v>
      </c>
      <c r="L76">
        <f>VLOOKUP(A76,[1]dataset_2!B:H,3,FALSE)</f>
        <v>0.74</v>
      </c>
      <c r="M76">
        <f>VLOOKUP(A76,[1]dataset_2!B:H,4,FALSE)</f>
        <v>0.1045</v>
      </c>
      <c r="N76">
        <f>VLOOKUP(A76,[1]dataset_2!B:H,5,FALSE)</f>
        <v>0</v>
      </c>
      <c r="O76">
        <f>VLOOKUP(A76,[1]dataset_2!B:H,6,FALSE)</f>
        <v>36</v>
      </c>
      <c r="P76">
        <f>VLOOKUP(A76,[1]dataset_2!B:H,7,FALSE)</f>
        <v>36</v>
      </c>
      <c r="Q76" t="str">
        <f t="shared" si="3"/>
        <v>Weekday</v>
      </c>
      <c r="R76" t="str">
        <f t="shared" si="4"/>
        <v>Morning</v>
      </c>
      <c r="S76" t="str">
        <f t="shared" si="5"/>
        <v>Low</v>
      </c>
    </row>
    <row r="77" spans="1:19">
      <c r="A77" s="14">
        <v>76</v>
      </c>
      <c r="B77" s="15">
        <v>40547</v>
      </c>
      <c r="C77" s="14">
        <v>1</v>
      </c>
      <c r="D77" s="14">
        <v>0</v>
      </c>
      <c r="E77" s="14">
        <v>1</v>
      </c>
      <c r="F77" s="14">
        <v>7</v>
      </c>
      <c r="G77" s="14" t="b">
        <v>0</v>
      </c>
      <c r="H77" s="14">
        <v>2</v>
      </c>
      <c r="I77" s="14">
        <v>1</v>
      </c>
      <c r="J77" s="14">
        <v>0.12</v>
      </c>
      <c r="K77">
        <f>VLOOKUP(A77,[1]dataset_2!B:H,2,FALSE)</f>
        <v>0.1515</v>
      </c>
      <c r="L77">
        <f>VLOOKUP(A77,[1]dataset_2!B:H,3,FALSE)</f>
        <v>0.74</v>
      </c>
      <c r="M77">
        <f>VLOOKUP(A77,[1]dataset_2!B:H,4,FALSE)</f>
        <v>0.1343</v>
      </c>
      <c r="N77">
        <f>VLOOKUP(A77,[1]dataset_2!B:H,5,FALSE)</f>
        <v>2</v>
      </c>
      <c r="O77">
        <f>VLOOKUP(A77,[1]dataset_2!B:H,6,FALSE)</f>
        <v>92</v>
      </c>
      <c r="P77">
        <f>VLOOKUP(A77,[1]dataset_2!B:H,7,FALSE)</f>
        <v>94</v>
      </c>
      <c r="Q77" t="str">
        <f t="shared" si="3"/>
        <v>Weekday</v>
      </c>
      <c r="R77" t="str">
        <f t="shared" si="4"/>
        <v>Morning</v>
      </c>
      <c r="S77" t="str">
        <f t="shared" si="5"/>
        <v>Low</v>
      </c>
    </row>
    <row r="78" spans="1:19">
      <c r="A78" s="14">
        <v>77</v>
      </c>
      <c r="B78" s="15">
        <v>40547</v>
      </c>
      <c r="C78" s="14">
        <v>1</v>
      </c>
      <c r="D78" s="14">
        <v>0</v>
      </c>
      <c r="E78" s="14">
        <v>1</v>
      </c>
      <c r="F78" s="14">
        <v>8</v>
      </c>
      <c r="G78" s="14" t="b">
        <v>0</v>
      </c>
      <c r="H78" s="14">
        <v>2</v>
      </c>
      <c r="I78" s="14">
        <v>1</v>
      </c>
      <c r="J78" s="14">
        <v>0.14000000000000001</v>
      </c>
      <c r="K78">
        <f>VLOOKUP(A78,[1]dataset_2!B:H,2,FALSE)</f>
        <v>0.1515</v>
      </c>
      <c r="L78">
        <f>VLOOKUP(A78,[1]dataset_2!B:H,3,FALSE)</f>
        <v>0.69</v>
      </c>
      <c r="M78">
        <f>VLOOKUP(A78,[1]dataset_2!B:H,4,FALSE)</f>
        <v>0.16420000000000001</v>
      </c>
      <c r="N78">
        <f>VLOOKUP(A78,[1]dataset_2!B:H,5,FALSE)</f>
        <v>2</v>
      </c>
      <c r="O78">
        <f>VLOOKUP(A78,[1]dataset_2!B:H,6,FALSE)</f>
        <v>177</v>
      </c>
      <c r="P78">
        <f>VLOOKUP(A78,[1]dataset_2!B:H,7,FALSE)</f>
        <v>179</v>
      </c>
      <c r="Q78" t="str">
        <f t="shared" si="3"/>
        <v>Weekday</v>
      </c>
      <c r="R78" t="str">
        <f t="shared" si="4"/>
        <v>Morning</v>
      </c>
      <c r="S78" t="str">
        <f t="shared" si="5"/>
        <v>High</v>
      </c>
    </row>
    <row r="79" spans="1:19">
      <c r="A79" s="14">
        <v>78</v>
      </c>
      <c r="B79" s="15">
        <v>40547</v>
      </c>
      <c r="C79" s="14">
        <v>1</v>
      </c>
      <c r="D79" s="14">
        <v>0</v>
      </c>
      <c r="E79" s="14">
        <v>1</v>
      </c>
      <c r="F79" s="14">
        <v>9</v>
      </c>
      <c r="G79" s="14" t="b">
        <v>0</v>
      </c>
      <c r="H79" s="14">
        <v>2</v>
      </c>
      <c r="I79" s="14">
        <v>1</v>
      </c>
      <c r="J79" s="14">
        <v>0.16</v>
      </c>
      <c r="K79">
        <f>VLOOKUP(A79,[1]dataset_2!B:H,2,FALSE)</f>
        <v>0.1515</v>
      </c>
      <c r="L79">
        <f>VLOOKUP(A79,[1]dataset_2!B:H,3,FALSE)</f>
        <v>0.64</v>
      </c>
      <c r="M79">
        <f>VLOOKUP(A79,[1]dataset_2!B:H,4,FALSE)</f>
        <v>0.22389999999999999</v>
      </c>
      <c r="N79">
        <f>VLOOKUP(A79,[1]dataset_2!B:H,5,FALSE)</f>
        <v>2</v>
      </c>
      <c r="O79">
        <f>VLOOKUP(A79,[1]dataset_2!B:H,6,FALSE)</f>
        <v>98</v>
      </c>
      <c r="P79">
        <f>VLOOKUP(A79,[1]dataset_2!B:H,7,FALSE)</f>
        <v>100</v>
      </c>
      <c r="Q79" t="str">
        <f t="shared" si="3"/>
        <v>Weekday</v>
      </c>
      <c r="R79" t="str">
        <f t="shared" si="4"/>
        <v>Morning</v>
      </c>
      <c r="S79" t="str">
        <f t="shared" si="5"/>
        <v>Low</v>
      </c>
    </row>
    <row r="80" spans="1:19">
      <c r="A80" s="14">
        <v>79</v>
      </c>
      <c r="B80" s="15">
        <v>40547</v>
      </c>
      <c r="C80" s="14">
        <v>1</v>
      </c>
      <c r="D80" s="14">
        <v>0</v>
      </c>
      <c r="E80" s="14">
        <v>1</v>
      </c>
      <c r="F80" s="14">
        <v>10</v>
      </c>
      <c r="G80" s="14" t="b">
        <v>0</v>
      </c>
      <c r="H80" s="14">
        <v>2</v>
      </c>
      <c r="I80" s="14">
        <v>2</v>
      </c>
      <c r="J80" s="14">
        <v>0.16</v>
      </c>
      <c r="K80">
        <f>VLOOKUP(A80,[1]dataset_2!B:H,2,FALSE)</f>
        <v>0.13639999999999999</v>
      </c>
      <c r="L80">
        <f>VLOOKUP(A80,[1]dataset_2!B:H,3,FALSE)</f>
        <v>0.69</v>
      </c>
      <c r="M80">
        <f>VLOOKUP(A80,[1]dataset_2!B:H,4,FALSE)</f>
        <v>0.32840000000000003</v>
      </c>
      <c r="N80">
        <f>VLOOKUP(A80,[1]dataset_2!B:H,5,FALSE)</f>
        <v>5</v>
      </c>
      <c r="O80">
        <f>VLOOKUP(A80,[1]dataset_2!B:H,6,FALSE)</f>
        <v>37</v>
      </c>
      <c r="P80">
        <f>VLOOKUP(A80,[1]dataset_2!B:H,7,FALSE)</f>
        <v>42</v>
      </c>
      <c r="Q80" t="str">
        <f t="shared" si="3"/>
        <v>Weekday</v>
      </c>
      <c r="R80" t="str">
        <f t="shared" si="4"/>
        <v>Morning</v>
      </c>
      <c r="S80" t="str">
        <f t="shared" si="5"/>
        <v>Low</v>
      </c>
    </row>
    <row r="81" spans="1:19">
      <c r="A81" s="14">
        <v>80</v>
      </c>
      <c r="B81" s="15">
        <v>40547</v>
      </c>
      <c r="C81" s="14">
        <v>1</v>
      </c>
      <c r="D81" s="14">
        <v>0</v>
      </c>
      <c r="E81" s="14">
        <v>1</v>
      </c>
      <c r="F81" s="14">
        <v>11</v>
      </c>
      <c r="G81" s="14" t="b">
        <v>0</v>
      </c>
      <c r="H81" s="14">
        <v>2</v>
      </c>
      <c r="I81" s="14">
        <v>1</v>
      </c>
      <c r="J81" s="14">
        <v>0.22</v>
      </c>
      <c r="K81">
        <f>VLOOKUP(A81,[1]dataset_2!B:H,2,FALSE)</f>
        <v>0.21210000000000001</v>
      </c>
      <c r="L81">
        <f>VLOOKUP(A81,[1]dataset_2!B:H,3,FALSE)</f>
        <v>0.51</v>
      </c>
      <c r="M81">
        <f>VLOOKUP(A81,[1]dataset_2!B:H,4,FALSE)</f>
        <v>0.29849999999999999</v>
      </c>
      <c r="N81">
        <f>VLOOKUP(A81,[1]dataset_2!B:H,5,FALSE)</f>
        <v>7</v>
      </c>
      <c r="O81">
        <f>VLOOKUP(A81,[1]dataset_2!B:H,6,FALSE)</f>
        <v>50</v>
      </c>
      <c r="P81">
        <f>VLOOKUP(A81,[1]dataset_2!B:H,7,FALSE)</f>
        <v>57</v>
      </c>
      <c r="Q81" t="str">
        <f t="shared" si="3"/>
        <v>Weekday</v>
      </c>
      <c r="R81" t="str">
        <f t="shared" si="4"/>
        <v>Morning</v>
      </c>
      <c r="S81" t="str">
        <f t="shared" si="5"/>
        <v>Low</v>
      </c>
    </row>
    <row r="82" spans="1:19">
      <c r="A82" s="14">
        <v>81</v>
      </c>
      <c r="B82" s="15">
        <v>40547</v>
      </c>
      <c r="C82" s="14">
        <v>1</v>
      </c>
      <c r="D82" s="14">
        <v>0</v>
      </c>
      <c r="E82" s="14">
        <v>1</v>
      </c>
      <c r="F82" s="14">
        <v>12</v>
      </c>
      <c r="G82" s="14" t="b">
        <v>0</v>
      </c>
      <c r="H82" s="14">
        <v>2</v>
      </c>
      <c r="I82" s="14">
        <v>1</v>
      </c>
      <c r="J82" s="14">
        <v>0.22</v>
      </c>
      <c r="K82">
        <f>VLOOKUP(A82,[1]dataset_2!B:H,2,FALSE)</f>
        <v>0.2273</v>
      </c>
      <c r="L82">
        <f>VLOOKUP(A82,[1]dataset_2!B:H,3,FALSE)</f>
        <v>0.51</v>
      </c>
      <c r="M82">
        <f>VLOOKUP(A82,[1]dataset_2!B:H,4,FALSE)</f>
        <v>0.16420000000000001</v>
      </c>
      <c r="N82">
        <f>VLOOKUP(A82,[1]dataset_2!B:H,5,FALSE)</f>
        <v>12</v>
      </c>
      <c r="O82">
        <f>VLOOKUP(A82,[1]dataset_2!B:H,6,FALSE)</f>
        <v>66</v>
      </c>
      <c r="P82">
        <f>VLOOKUP(A82,[1]dataset_2!B:H,7,FALSE)</f>
        <v>78</v>
      </c>
      <c r="Q82" t="str">
        <f t="shared" si="3"/>
        <v>Weekday</v>
      </c>
      <c r="R82" t="str">
        <f t="shared" si="4"/>
        <v>Afternoon</v>
      </c>
      <c r="S82" t="str">
        <f t="shared" si="5"/>
        <v>Low</v>
      </c>
    </row>
    <row r="83" spans="1:19">
      <c r="A83" s="14">
        <v>82</v>
      </c>
      <c r="B83" s="15">
        <v>40547</v>
      </c>
      <c r="C83" s="14">
        <v>1</v>
      </c>
      <c r="D83" s="14">
        <v>0</v>
      </c>
      <c r="E83" s="14">
        <v>1</v>
      </c>
      <c r="F83" s="14">
        <v>13</v>
      </c>
      <c r="G83" s="14" t="b">
        <v>0</v>
      </c>
      <c r="H83" s="14">
        <v>2</v>
      </c>
      <c r="I83" s="14">
        <v>1</v>
      </c>
      <c r="J83" s="14">
        <v>0.24</v>
      </c>
      <c r="K83">
        <f>VLOOKUP(A83,[1]dataset_2!B:H,2,FALSE)</f>
        <v>0.2273</v>
      </c>
      <c r="L83">
        <f>VLOOKUP(A83,[1]dataset_2!B:H,3,FALSE)</f>
        <v>0.56000000000000005</v>
      </c>
      <c r="M83">
        <f>VLOOKUP(A83,[1]dataset_2!B:H,4,FALSE)</f>
        <v>0.19400000000000001</v>
      </c>
      <c r="N83">
        <f>VLOOKUP(A83,[1]dataset_2!B:H,5,FALSE)</f>
        <v>18</v>
      </c>
      <c r="O83">
        <f>VLOOKUP(A83,[1]dataset_2!B:H,6,FALSE)</f>
        <v>79</v>
      </c>
      <c r="P83">
        <f>VLOOKUP(A83,[1]dataset_2!B:H,7,FALSE)</f>
        <v>97</v>
      </c>
      <c r="Q83" t="str">
        <f t="shared" si="3"/>
        <v>Weekday</v>
      </c>
      <c r="R83" t="str">
        <f t="shared" si="4"/>
        <v>Afternoon</v>
      </c>
      <c r="S83" t="str">
        <f t="shared" si="5"/>
        <v>Low</v>
      </c>
    </row>
    <row r="84" spans="1:19">
      <c r="A84" s="14">
        <v>83</v>
      </c>
      <c r="B84" s="15">
        <v>40547</v>
      </c>
      <c r="C84" s="14">
        <v>1</v>
      </c>
      <c r="D84" s="14">
        <v>0</v>
      </c>
      <c r="E84" s="14">
        <v>1</v>
      </c>
      <c r="F84" s="14">
        <v>14</v>
      </c>
      <c r="G84" s="14" t="b">
        <v>0</v>
      </c>
      <c r="H84" s="14">
        <v>2</v>
      </c>
      <c r="I84" s="14">
        <v>1</v>
      </c>
      <c r="J84" s="14">
        <v>0.26</v>
      </c>
      <c r="K84">
        <f>VLOOKUP(A84,[1]dataset_2!B:H,2,FALSE)</f>
        <v>0.2576</v>
      </c>
      <c r="L84">
        <f>VLOOKUP(A84,[1]dataset_2!B:H,3,FALSE)</f>
        <v>0.52</v>
      </c>
      <c r="M84">
        <f>VLOOKUP(A84,[1]dataset_2!B:H,4,FALSE)</f>
        <v>0.22389999999999999</v>
      </c>
      <c r="N84">
        <f>VLOOKUP(A84,[1]dataset_2!B:H,5,FALSE)</f>
        <v>9</v>
      </c>
      <c r="O84">
        <f>VLOOKUP(A84,[1]dataset_2!B:H,6,FALSE)</f>
        <v>54</v>
      </c>
      <c r="P84">
        <f>VLOOKUP(A84,[1]dataset_2!B:H,7,FALSE)</f>
        <v>63</v>
      </c>
      <c r="Q84" t="str">
        <f t="shared" si="3"/>
        <v>Weekday</v>
      </c>
      <c r="R84" t="str">
        <f t="shared" si="4"/>
        <v>Afternoon</v>
      </c>
      <c r="S84" t="str">
        <f t="shared" si="5"/>
        <v>Low</v>
      </c>
    </row>
    <row r="85" spans="1:19">
      <c r="A85" s="14">
        <v>84</v>
      </c>
      <c r="B85" s="15">
        <v>40547</v>
      </c>
      <c r="C85" s="14">
        <v>1</v>
      </c>
      <c r="D85" s="14">
        <v>0</v>
      </c>
      <c r="E85" s="14">
        <v>1</v>
      </c>
      <c r="F85" s="14">
        <v>15</v>
      </c>
      <c r="G85" s="14" t="b">
        <v>0</v>
      </c>
      <c r="H85" s="14">
        <v>2</v>
      </c>
      <c r="I85" s="14">
        <v>1</v>
      </c>
      <c r="J85" s="14">
        <v>0.28000000000000003</v>
      </c>
      <c r="K85">
        <f>VLOOKUP(A85,[1]dataset_2!B:H,2,FALSE)</f>
        <v>0.2727</v>
      </c>
      <c r="L85">
        <f>VLOOKUP(A85,[1]dataset_2!B:H,3,FALSE)</f>
        <v>0.52</v>
      </c>
      <c r="M85">
        <f>VLOOKUP(A85,[1]dataset_2!B:H,4,FALSE)</f>
        <v>0.25369999999999998</v>
      </c>
      <c r="N85">
        <f>VLOOKUP(A85,[1]dataset_2!B:H,5,FALSE)</f>
        <v>17</v>
      </c>
      <c r="O85">
        <f>VLOOKUP(A85,[1]dataset_2!B:H,6,FALSE)</f>
        <v>48</v>
      </c>
      <c r="P85">
        <f>VLOOKUP(A85,[1]dataset_2!B:H,7,FALSE)</f>
        <v>65</v>
      </c>
      <c r="Q85" t="str">
        <f t="shared" si="3"/>
        <v>Weekday</v>
      </c>
      <c r="R85" t="str">
        <f t="shared" si="4"/>
        <v>Afternoon</v>
      </c>
      <c r="S85" t="str">
        <f t="shared" si="5"/>
        <v>Low</v>
      </c>
    </row>
    <row r="86" spans="1:19">
      <c r="A86" s="14">
        <v>85</v>
      </c>
      <c r="B86" s="15">
        <v>40547</v>
      </c>
      <c r="C86" s="14">
        <v>1</v>
      </c>
      <c r="D86" s="14">
        <v>0</v>
      </c>
      <c r="E86" s="14">
        <v>1</v>
      </c>
      <c r="F86" s="14">
        <v>16</v>
      </c>
      <c r="G86" s="14" t="b">
        <v>0</v>
      </c>
      <c r="H86" s="14">
        <v>2</v>
      </c>
      <c r="I86" s="14">
        <v>1</v>
      </c>
      <c r="J86" s="14">
        <v>0.3</v>
      </c>
      <c r="K86">
        <f>VLOOKUP(A86,[1]dataset_2!B:H,2,FALSE)</f>
        <v>0.28789999999999999</v>
      </c>
      <c r="L86">
        <f>VLOOKUP(A86,[1]dataset_2!B:H,3,FALSE)</f>
        <v>0.49</v>
      </c>
      <c r="M86">
        <f>VLOOKUP(A86,[1]dataset_2!B:H,4,FALSE)</f>
        <v>0.25369999999999998</v>
      </c>
      <c r="N86">
        <f>VLOOKUP(A86,[1]dataset_2!B:H,5,FALSE)</f>
        <v>15</v>
      </c>
      <c r="O86">
        <f>VLOOKUP(A86,[1]dataset_2!B:H,6,FALSE)</f>
        <v>68</v>
      </c>
      <c r="P86">
        <f>VLOOKUP(A86,[1]dataset_2!B:H,7,FALSE)</f>
        <v>83</v>
      </c>
      <c r="Q86" t="str">
        <f t="shared" si="3"/>
        <v>Weekday</v>
      </c>
      <c r="R86" t="str">
        <f t="shared" si="4"/>
        <v>Afternoon</v>
      </c>
      <c r="S86" t="str">
        <f t="shared" si="5"/>
        <v>Low</v>
      </c>
    </row>
    <row r="87" spans="1:19">
      <c r="A87" s="14">
        <v>86</v>
      </c>
      <c r="B87" s="15">
        <v>40547</v>
      </c>
      <c r="C87" s="14">
        <v>1</v>
      </c>
      <c r="D87" s="14">
        <v>0</v>
      </c>
      <c r="E87" s="14">
        <v>1</v>
      </c>
      <c r="F87" s="14">
        <v>17</v>
      </c>
      <c r="G87" s="14" t="b">
        <v>0</v>
      </c>
      <c r="H87" s="14">
        <v>2</v>
      </c>
      <c r="I87" s="14">
        <v>1</v>
      </c>
      <c r="J87" s="14">
        <v>0.28000000000000003</v>
      </c>
      <c r="K87">
        <f>VLOOKUP(A87,[1]dataset_2!B:H,2,FALSE)</f>
        <v>0.2727</v>
      </c>
      <c r="L87">
        <f>VLOOKUP(A87,[1]dataset_2!B:H,3,FALSE)</f>
        <v>0.48</v>
      </c>
      <c r="M87">
        <f>VLOOKUP(A87,[1]dataset_2!B:H,4,FALSE)</f>
        <v>0.22389999999999999</v>
      </c>
      <c r="N87">
        <f>VLOOKUP(A87,[1]dataset_2!B:H,5,FALSE)</f>
        <v>10</v>
      </c>
      <c r="O87">
        <f>VLOOKUP(A87,[1]dataset_2!B:H,6,FALSE)</f>
        <v>202</v>
      </c>
      <c r="P87">
        <f>VLOOKUP(A87,[1]dataset_2!B:H,7,FALSE)</f>
        <v>212</v>
      </c>
      <c r="Q87" t="str">
        <f t="shared" si="3"/>
        <v>Weekday</v>
      </c>
      <c r="R87" t="str">
        <f t="shared" si="4"/>
        <v>Afternoon</v>
      </c>
      <c r="S87" t="str">
        <f t="shared" si="5"/>
        <v>High</v>
      </c>
    </row>
    <row r="88" spans="1:19">
      <c r="A88" s="14">
        <v>87</v>
      </c>
      <c r="B88" s="15">
        <v>40547</v>
      </c>
      <c r="C88" s="14">
        <v>1</v>
      </c>
      <c r="D88" s="14">
        <v>0</v>
      </c>
      <c r="E88" s="14">
        <v>1</v>
      </c>
      <c r="F88" s="14">
        <v>18</v>
      </c>
      <c r="G88" s="14" t="b">
        <v>0</v>
      </c>
      <c r="H88" s="14">
        <v>2</v>
      </c>
      <c r="I88" s="14">
        <v>1</v>
      </c>
      <c r="J88" s="14">
        <v>0.26</v>
      </c>
      <c r="K88">
        <f>VLOOKUP(A88,[1]dataset_2!B:H,2,FALSE)</f>
        <v>0.2576</v>
      </c>
      <c r="L88">
        <f>VLOOKUP(A88,[1]dataset_2!B:H,3,FALSE)</f>
        <v>0.48</v>
      </c>
      <c r="M88">
        <f>VLOOKUP(A88,[1]dataset_2!B:H,4,FALSE)</f>
        <v>0.19400000000000001</v>
      </c>
      <c r="N88">
        <f>VLOOKUP(A88,[1]dataset_2!B:H,5,FALSE)</f>
        <v>3</v>
      </c>
      <c r="O88">
        <f>VLOOKUP(A88,[1]dataset_2!B:H,6,FALSE)</f>
        <v>179</v>
      </c>
      <c r="P88">
        <f>VLOOKUP(A88,[1]dataset_2!B:H,7,FALSE)</f>
        <v>182</v>
      </c>
      <c r="Q88" t="str">
        <f t="shared" si="3"/>
        <v>Weekday</v>
      </c>
      <c r="R88" t="str">
        <f t="shared" si="4"/>
        <v>Evening</v>
      </c>
      <c r="S88" t="str">
        <f t="shared" si="5"/>
        <v>High</v>
      </c>
    </row>
    <row r="89" spans="1:19">
      <c r="A89" s="14">
        <v>88</v>
      </c>
      <c r="B89" s="15">
        <v>40547</v>
      </c>
      <c r="C89" s="14">
        <v>1</v>
      </c>
      <c r="D89" s="14">
        <v>0</v>
      </c>
      <c r="E89" s="14">
        <v>1</v>
      </c>
      <c r="F89" s="14">
        <v>19</v>
      </c>
      <c r="G89" s="14" t="b">
        <v>0</v>
      </c>
      <c r="H89" s="14">
        <v>2</v>
      </c>
      <c r="I89" s="14">
        <v>1</v>
      </c>
      <c r="J89" s="14">
        <v>0.24</v>
      </c>
      <c r="K89">
        <f>VLOOKUP(A89,[1]dataset_2!B:H,2,FALSE)</f>
        <v>0.2576</v>
      </c>
      <c r="L89">
        <f>VLOOKUP(A89,[1]dataset_2!B:H,3,FALSE)</f>
        <v>0.48</v>
      </c>
      <c r="M89">
        <f>VLOOKUP(A89,[1]dataset_2!B:H,4,FALSE)</f>
        <v>0.1045</v>
      </c>
      <c r="N89">
        <f>VLOOKUP(A89,[1]dataset_2!B:H,5,FALSE)</f>
        <v>2</v>
      </c>
      <c r="O89">
        <f>VLOOKUP(A89,[1]dataset_2!B:H,6,FALSE)</f>
        <v>110</v>
      </c>
      <c r="P89">
        <f>VLOOKUP(A89,[1]dataset_2!B:H,7,FALSE)</f>
        <v>112</v>
      </c>
      <c r="Q89" t="str">
        <f t="shared" si="3"/>
        <v>Weekday</v>
      </c>
      <c r="R89" t="str">
        <f t="shared" si="4"/>
        <v>Evening</v>
      </c>
      <c r="S89" t="str">
        <f t="shared" si="5"/>
        <v>High</v>
      </c>
    </row>
    <row r="90" spans="1:19">
      <c r="A90" s="14">
        <v>89</v>
      </c>
      <c r="B90" s="15">
        <v>40547</v>
      </c>
      <c r="C90" s="14">
        <v>1</v>
      </c>
      <c r="D90" s="14">
        <v>0</v>
      </c>
      <c r="E90" s="14">
        <v>1</v>
      </c>
      <c r="F90" s="14">
        <v>20</v>
      </c>
      <c r="G90" s="14" t="b">
        <v>0</v>
      </c>
      <c r="H90" s="14">
        <v>2</v>
      </c>
      <c r="I90" s="14">
        <v>1</v>
      </c>
      <c r="J90" s="14">
        <v>0.24</v>
      </c>
      <c r="K90">
        <f>VLOOKUP(A90,[1]dataset_2!B:H,2,FALSE)</f>
        <v>0.2576</v>
      </c>
      <c r="L90">
        <f>VLOOKUP(A90,[1]dataset_2!B:H,3,FALSE)</f>
        <v>0.48</v>
      </c>
      <c r="M90">
        <f>VLOOKUP(A90,[1]dataset_2!B:H,4,FALSE)</f>
        <v>0.1045</v>
      </c>
      <c r="N90">
        <f>VLOOKUP(A90,[1]dataset_2!B:H,5,FALSE)</f>
        <v>1</v>
      </c>
      <c r="O90">
        <f>VLOOKUP(A90,[1]dataset_2!B:H,6,FALSE)</f>
        <v>53</v>
      </c>
      <c r="P90">
        <f>VLOOKUP(A90,[1]dataset_2!B:H,7,FALSE)</f>
        <v>54</v>
      </c>
      <c r="Q90" t="str">
        <f t="shared" si="3"/>
        <v>Weekday</v>
      </c>
      <c r="R90" t="str">
        <f t="shared" si="4"/>
        <v>Evening</v>
      </c>
      <c r="S90" t="str">
        <f t="shared" si="5"/>
        <v>Low</v>
      </c>
    </row>
    <row r="91" spans="1:19">
      <c r="A91" s="14">
        <v>90</v>
      </c>
      <c r="B91" s="15">
        <v>40547</v>
      </c>
      <c r="C91" s="14">
        <v>1</v>
      </c>
      <c r="D91" s="14">
        <v>0</v>
      </c>
      <c r="E91" s="14">
        <v>1</v>
      </c>
      <c r="F91" s="14">
        <v>21</v>
      </c>
      <c r="G91" s="14" t="b">
        <v>0</v>
      </c>
      <c r="H91" s="14">
        <v>2</v>
      </c>
      <c r="I91" s="14">
        <v>1</v>
      </c>
      <c r="J91" s="14">
        <v>0.22</v>
      </c>
      <c r="K91">
        <f>VLOOKUP(A91,[1]dataset_2!B:H,2,FALSE)</f>
        <v>0.2727</v>
      </c>
      <c r="L91">
        <f>VLOOKUP(A91,[1]dataset_2!B:H,3,FALSE)</f>
        <v>0.64</v>
      </c>
      <c r="M91">
        <f>VLOOKUP(A91,[1]dataset_2!B:H,4,FALSE)</f>
        <v>0</v>
      </c>
      <c r="N91">
        <f>VLOOKUP(A91,[1]dataset_2!B:H,5,FALSE)</f>
        <v>0</v>
      </c>
      <c r="O91">
        <f>VLOOKUP(A91,[1]dataset_2!B:H,6,FALSE)</f>
        <v>48</v>
      </c>
      <c r="P91">
        <f>VLOOKUP(A91,[1]dataset_2!B:H,7,FALSE)</f>
        <v>48</v>
      </c>
      <c r="Q91" t="str">
        <f t="shared" si="3"/>
        <v>Weekday</v>
      </c>
      <c r="R91" t="str">
        <f t="shared" si="4"/>
        <v>Evening</v>
      </c>
      <c r="S91" t="str">
        <f t="shared" si="5"/>
        <v>Low</v>
      </c>
    </row>
    <row r="92" spans="1:19">
      <c r="A92" s="14">
        <v>91</v>
      </c>
      <c r="B92" s="15">
        <v>40547</v>
      </c>
      <c r="C92" s="14">
        <v>1</v>
      </c>
      <c r="D92" s="14">
        <v>0</v>
      </c>
      <c r="E92" s="14">
        <v>1</v>
      </c>
      <c r="F92" s="14">
        <v>22</v>
      </c>
      <c r="G92" s="14" t="b">
        <v>0</v>
      </c>
      <c r="H92" s="14">
        <v>2</v>
      </c>
      <c r="I92" s="14">
        <v>1</v>
      </c>
      <c r="J92" s="14">
        <v>0.22</v>
      </c>
      <c r="K92">
        <f>VLOOKUP(A92,[1]dataset_2!B:H,2,FALSE)</f>
        <v>0.2576</v>
      </c>
      <c r="L92">
        <f>VLOOKUP(A92,[1]dataset_2!B:H,3,FALSE)</f>
        <v>0.64</v>
      </c>
      <c r="M92">
        <f>VLOOKUP(A92,[1]dataset_2!B:H,4,FALSE)</f>
        <v>8.9599999999999999E-2</v>
      </c>
      <c r="N92">
        <f>VLOOKUP(A92,[1]dataset_2!B:H,5,FALSE)</f>
        <v>1</v>
      </c>
      <c r="O92">
        <f>VLOOKUP(A92,[1]dataset_2!B:H,6,FALSE)</f>
        <v>34</v>
      </c>
      <c r="P92">
        <f>VLOOKUP(A92,[1]dataset_2!B:H,7,FALSE)</f>
        <v>35</v>
      </c>
      <c r="Q92" t="str">
        <f t="shared" si="3"/>
        <v>Weekday</v>
      </c>
      <c r="R92" t="str">
        <f t="shared" si="4"/>
        <v>Evening</v>
      </c>
      <c r="S92" t="str">
        <f t="shared" si="5"/>
        <v>Low</v>
      </c>
    </row>
    <row r="93" spans="1:19">
      <c r="A93" s="14">
        <v>92</v>
      </c>
      <c r="B93" s="15">
        <v>40547</v>
      </c>
      <c r="C93" s="14">
        <v>1</v>
      </c>
      <c r="D93" s="14">
        <v>0</v>
      </c>
      <c r="E93" s="14">
        <v>1</v>
      </c>
      <c r="F93" s="14">
        <v>23</v>
      </c>
      <c r="G93" s="14" t="b">
        <v>0</v>
      </c>
      <c r="H93" s="14">
        <v>2</v>
      </c>
      <c r="I93" s="14">
        <v>1</v>
      </c>
      <c r="J93" s="14">
        <v>0.2</v>
      </c>
      <c r="K93">
        <f>VLOOKUP(A93,[1]dataset_2!B:H,2,FALSE)</f>
        <v>0.2273</v>
      </c>
      <c r="L93">
        <f>VLOOKUP(A93,[1]dataset_2!B:H,3,FALSE)</f>
        <v>0.69</v>
      </c>
      <c r="M93">
        <f>VLOOKUP(A93,[1]dataset_2!B:H,4,FALSE)</f>
        <v>8.9599999999999999E-2</v>
      </c>
      <c r="N93">
        <f>VLOOKUP(A93,[1]dataset_2!B:H,5,FALSE)</f>
        <v>2</v>
      </c>
      <c r="O93">
        <f>VLOOKUP(A93,[1]dataset_2!B:H,6,FALSE)</f>
        <v>9</v>
      </c>
      <c r="P93">
        <f>VLOOKUP(A93,[1]dataset_2!B:H,7,FALSE)</f>
        <v>11</v>
      </c>
      <c r="Q93" t="str">
        <f t="shared" si="3"/>
        <v>Weekday</v>
      </c>
      <c r="R93" t="str">
        <f t="shared" si="4"/>
        <v>Evening</v>
      </c>
      <c r="S93" t="str">
        <f t="shared" si="5"/>
        <v>Low</v>
      </c>
    </row>
    <row r="94" spans="1:19">
      <c r="A94" s="14">
        <v>93</v>
      </c>
      <c r="B94" s="15">
        <v>40548</v>
      </c>
      <c r="C94" s="14">
        <v>1</v>
      </c>
      <c r="D94" s="14">
        <v>0</v>
      </c>
      <c r="E94" s="14">
        <v>1</v>
      </c>
      <c r="F94" s="14">
        <v>0</v>
      </c>
      <c r="G94" s="14" t="b">
        <v>0</v>
      </c>
      <c r="H94" s="14">
        <v>3</v>
      </c>
      <c r="I94" s="14">
        <v>1</v>
      </c>
      <c r="J94" s="14">
        <v>0.2</v>
      </c>
      <c r="K94">
        <f>VLOOKUP(A94,[1]dataset_2!B:H,2,FALSE)</f>
        <v>0.2576</v>
      </c>
      <c r="L94">
        <f>VLOOKUP(A94,[1]dataset_2!B:H,3,FALSE)</f>
        <v>0.64</v>
      </c>
      <c r="M94">
        <f>VLOOKUP(A94,[1]dataset_2!B:H,4,FALSE)</f>
        <v>0</v>
      </c>
      <c r="N94">
        <f>VLOOKUP(A94,[1]dataset_2!B:H,5,FALSE)</f>
        <v>0</v>
      </c>
      <c r="O94">
        <f>VLOOKUP(A94,[1]dataset_2!B:H,6,FALSE)</f>
        <v>6</v>
      </c>
      <c r="P94">
        <f>VLOOKUP(A94,[1]dataset_2!B:H,7,FALSE)</f>
        <v>6</v>
      </c>
      <c r="Q94" t="str">
        <f t="shared" si="3"/>
        <v>Weekday</v>
      </c>
      <c r="R94" t="str">
        <f t="shared" si="4"/>
        <v>Morning</v>
      </c>
      <c r="S94" t="str">
        <f t="shared" si="5"/>
        <v>Low</v>
      </c>
    </row>
    <row r="95" spans="1:19">
      <c r="A95" s="14">
        <v>94</v>
      </c>
      <c r="B95" s="15">
        <v>40548</v>
      </c>
      <c r="C95" s="14">
        <v>1</v>
      </c>
      <c r="D95" s="14">
        <v>0</v>
      </c>
      <c r="E95" s="14">
        <v>1</v>
      </c>
      <c r="F95" s="14">
        <v>1</v>
      </c>
      <c r="G95" s="14" t="b">
        <v>0</v>
      </c>
      <c r="H95" s="14">
        <v>3</v>
      </c>
      <c r="I95" s="14">
        <v>1</v>
      </c>
      <c r="J95" s="14">
        <v>0.16</v>
      </c>
      <c r="K95">
        <f>VLOOKUP(A95,[1]dataset_2!B:H,2,FALSE)</f>
        <v>0.19700000000000001</v>
      </c>
      <c r="L95">
        <f>VLOOKUP(A95,[1]dataset_2!B:H,3,FALSE)</f>
        <v>0.74</v>
      </c>
      <c r="M95">
        <f>VLOOKUP(A95,[1]dataset_2!B:H,4,FALSE)</f>
        <v>8.9599999999999999E-2</v>
      </c>
      <c r="N95">
        <f>VLOOKUP(A95,[1]dataset_2!B:H,5,FALSE)</f>
        <v>0</v>
      </c>
      <c r="O95">
        <f>VLOOKUP(A95,[1]dataset_2!B:H,6,FALSE)</f>
        <v>6</v>
      </c>
      <c r="P95">
        <f>VLOOKUP(A95,[1]dataset_2!B:H,7,FALSE)</f>
        <v>6</v>
      </c>
      <c r="Q95" t="str">
        <f t="shared" si="3"/>
        <v>Weekday</v>
      </c>
      <c r="R95" t="str">
        <f t="shared" si="4"/>
        <v>Morning</v>
      </c>
      <c r="S95" t="str">
        <f t="shared" si="5"/>
        <v>Low</v>
      </c>
    </row>
    <row r="96" spans="1:19">
      <c r="A96" s="14">
        <v>95</v>
      </c>
      <c r="B96" s="15">
        <v>40548</v>
      </c>
      <c r="C96" s="14">
        <v>1</v>
      </c>
      <c r="D96" s="14">
        <v>0</v>
      </c>
      <c r="E96" s="14">
        <v>1</v>
      </c>
      <c r="F96" s="14">
        <v>2</v>
      </c>
      <c r="G96" s="14" t="b">
        <v>0</v>
      </c>
      <c r="H96" s="14">
        <v>3</v>
      </c>
      <c r="I96" s="14">
        <v>1</v>
      </c>
      <c r="J96" s="14">
        <v>0.16</v>
      </c>
      <c r="K96">
        <f>VLOOKUP(A96,[1]dataset_2!B:H,2,FALSE)</f>
        <v>0.19700000000000001</v>
      </c>
      <c r="L96">
        <f>VLOOKUP(A96,[1]dataset_2!B:H,3,FALSE)</f>
        <v>0.74</v>
      </c>
      <c r="M96">
        <f>VLOOKUP(A96,[1]dataset_2!B:H,4,FALSE)</f>
        <v>8.9599999999999999E-2</v>
      </c>
      <c r="N96">
        <f>VLOOKUP(A96,[1]dataset_2!B:H,5,FALSE)</f>
        <v>0</v>
      </c>
      <c r="O96">
        <f>VLOOKUP(A96,[1]dataset_2!B:H,6,FALSE)</f>
        <v>2</v>
      </c>
      <c r="P96">
        <f>VLOOKUP(A96,[1]dataset_2!B:H,7,FALSE)</f>
        <v>2</v>
      </c>
      <c r="Q96" t="str">
        <f t="shared" si="3"/>
        <v>Weekday</v>
      </c>
      <c r="R96" t="str">
        <f t="shared" si="4"/>
        <v>Morning</v>
      </c>
      <c r="S96" t="str">
        <f t="shared" si="5"/>
        <v>Low</v>
      </c>
    </row>
    <row r="97" spans="1:19">
      <c r="A97" s="14">
        <v>96</v>
      </c>
      <c r="B97" s="15">
        <v>40548</v>
      </c>
      <c r="C97" s="14">
        <v>1</v>
      </c>
      <c r="D97" s="14">
        <v>0</v>
      </c>
      <c r="E97" s="14">
        <v>1</v>
      </c>
      <c r="F97" s="14">
        <v>4</v>
      </c>
      <c r="G97" s="14" t="b">
        <v>0</v>
      </c>
      <c r="H97" s="14">
        <v>3</v>
      </c>
      <c r="I97" s="14">
        <v>1</v>
      </c>
      <c r="J97" s="14">
        <v>0.24</v>
      </c>
      <c r="K97">
        <f>VLOOKUP(A97,[1]dataset_2!B:H,2,FALSE)</f>
        <v>0.2273</v>
      </c>
      <c r="L97">
        <f>VLOOKUP(A97,[1]dataset_2!B:H,3,FALSE)</f>
        <v>0.48</v>
      </c>
      <c r="M97">
        <f>VLOOKUP(A97,[1]dataset_2!B:H,4,FALSE)</f>
        <v>0.22389999999999999</v>
      </c>
      <c r="N97">
        <f>VLOOKUP(A97,[1]dataset_2!B:H,5,FALSE)</f>
        <v>0</v>
      </c>
      <c r="O97">
        <f>VLOOKUP(A97,[1]dataset_2!B:H,6,FALSE)</f>
        <v>2</v>
      </c>
      <c r="P97">
        <f>VLOOKUP(A97,[1]dataset_2!B:H,7,FALSE)</f>
        <v>2</v>
      </c>
      <c r="Q97" t="str">
        <f t="shared" si="3"/>
        <v>Weekday</v>
      </c>
      <c r="R97" t="str">
        <f t="shared" si="4"/>
        <v>Morning</v>
      </c>
      <c r="S97" t="str">
        <f t="shared" si="5"/>
        <v>Low</v>
      </c>
    </row>
    <row r="98" spans="1:19">
      <c r="A98" s="14">
        <v>97</v>
      </c>
      <c r="B98" s="15">
        <v>40548</v>
      </c>
      <c r="C98" s="14">
        <v>1</v>
      </c>
      <c r="D98" s="14">
        <v>0</v>
      </c>
      <c r="E98" s="14">
        <v>1</v>
      </c>
      <c r="F98" s="14">
        <v>5</v>
      </c>
      <c r="G98" s="14" t="b">
        <v>0</v>
      </c>
      <c r="H98" s="14">
        <v>3</v>
      </c>
      <c r="I98" s="14">
        <v>1</v>
      </c>
      <c r="J98" s="14">
        <v>0.22</v>
      </c>
      <c r="K98">
        <f>VLOOKUP(A98,[1]dataset_2!B:H,2,FALSE)</f>
        <v>0.2273</v>
      </c>
      <c r="L98">
        <f>VLOOKUP(A98,[1]dataset_2!B:H,3,FALSE)</f>
        <v>0.47</v>
      </c>
      <c r="M98">
        <f>VLOOKUP(A98,[1]dataset_2!B:H,4,FALSE)</f>
        <v>0.16420000000000001</v>
      </c>
      <c r="N98">
        <f>VLOOKUP(A98,[1]dataset_2!B:H,5,FALSE)</f>
        <v>0</v>
      </c>
      <c r="O98">
        <f>VLOOKUP(A98,[1]dataset_2!B:H,6,FALSE)</f>
        <v>3</v>
      </c>
      <c r="P98">
        <f>VLOOKUP(A98,[1]dataset_2!B:H,7,FALSE)</f>
        <v>3</v>
      </c>
      <c r="Q98" t="str">
        <f t="shared" si="3"/>
        <v>Weekday</v>
      </c>
      <c r="R98" t="str">
        <f t="shared" si="4"/>
        <v>Morning</v>
      </c>
      <c r="S98" t="str">
        <f t="shared" si="5"/>
        <v>Low</v>
      </c>
    </row>
    <row r="99" spans="1:19">
      <c r="A99" s="14">
        <v>98</v>
      </c>
      <c r="B99" s="15">
        <v>40548</v>
      </c>
      <c r="C99" s="14">
        <v>1</v>
      </c>
      <c r="D99" s="14">
        <v>0</v>
      </c>
      <c r="E99" s="14">
        <v>1</v>
      </c>
      <c r="F99" s="14">
        <v>6</v>
      </c>
      <c r="G99" s="14" t="b">
        <v>0</v>
      </c>
      <c r="H99" s="14">
        <v>3</v>
      </c>
      <c r="I99" s="14">
        <v>1</v>
      </c>
      <c r="J99" s="14">
        <v>0.2</v>
      </c>
      <c r="K99">
        <f>VLOOKUP(A99,[1]dataset_2!B:H,2,FALSE)</f>
        <v>0.19700000000000001</v>
      </c>
      <c r="L99">
        <f>VLOOKUP(A99,[1]dataset_2!B:H,3,FALSE)</f>
        <v>0.47</v>
      </c>
      <c r="M99">
        <f>VLOOKUP(A99,[1]dataset_2!B:H,4,FALSE)</f>
        <v>0.22389999999999999</v>
      </c>
      <c r="N99">
        <f>VLOOKUP(A99,[1]dataset_2!B:H,5,FALSE)</f>
        <v>0</v>
      </c>
      <c r="O99">
        <f>VLOOKUP(A99,[1]dataset_2!B:H,6,FALSE)</f>
        <v>33</v>
      </c>
      <c r="P99">
        <f>VLOOKUP(A99,[1]dataset_2!B:H,7,FALSE)</f>
        <v>33</v>
      </c>
      <c r="Q99" t="str">
        <f t="shared" si="3"/>
        <v>Weekday</v>
      </c>
      <c r="R99" t="str">
        <f t="shared" si="4"/>
        <v>Morning</v>
      </c>
      <c r="S99" t="str">
        <f t="shared" si="5"/>
        <v>Low</v>
      </c>
    </row>
    <row r="100" spans="1:19">
      <c r="A100" s="14">
        <v>99</v>
      </c>
      <c r="B100" s="15">
        <v>40548</v>
      </c>
      <c r="C100" s="14">
        <v>1</v>
      </c>
      <c r="D100" s="14">
        <v>0</v>
      </c>
      <c r="E100" s="14">
        <v>1</v>
      </c>
      <c r="F100" s="14">
        <v>7</v>
      </c>
      <c r="G100" s="14" t="b">
        <v>0</v>
      </c>
      <c r="H100" s="14">
        <v>3</v>
      </c>
      <c r="I100" s="14">
        <v>1</v>
      </c>
      <c r="J100" s="14">
        <v>0.18</v>
      </c>
      <c r="K100">
        <f>VLOOKUP(A100,[1]dataset_2!B:H,2,FALSE)</f>
        <v>0.18179999999999999</v>
      </c>
      <c r="L100">
        <f>VLOOKUP(A100,[1]dataset_2!B:H,3,FALSE)</f>
        <v>0.43</v>
      </c>
      <c r="M100">
        <f>VLOOKUP(A100,[1]dataset_2!B:H,4,FALSE)</f>
        <v>0.19400000000000001</v>
      </c>
      <c r="N100">
        <f>VLOOKUP(A100,[1]dataset_2!B:H,5,FALSE)</f>
        <v>1</v>
      </c>
      <c r="O100">
        <f>VLOOKUP(A100,[1]dataset_2!B:H,6,FALSE)</f>
        <v>87</v>
      </c>
      <c r="P100">
        <f>VLOOKUP(A100,[1]dataset_2!B:H,7,FALSE)</f>
        <v>88</v>
      </c>
      <c r="Q100" t="str">
        <f t="shared" si="3"/>
        <v>Weekday</v>
      </c>
      <c r="R100" t="str">
        <f t="shared" si="4"/>
        <v>Morning</v>
      </c>
      <c r="S100" t="str">
        <f t="shared" si="5"/>
        <v>Low</v>
      </c>
    </row>
    <row r="101" spans="1:19">
      <c r="A101" s="14">
        <v>100</v>
      </c>
      <c r="B101" s="15">
        <v>40548</v>
      </c>
      <c r="C101" s="14">
        <v>1</v>
      </c>
      <c r="D101" s="14">
        <v>0</v>
      </c>
      <c r="E101" s="14">
        <v>1</v>
      </c>
      <c r="F101" s="14">
        <v>8</v>
      </c>
      <c r="G101" s="14" t="b">
        <v>0</v>
      </c>
      <c r="H101" s="14">
        <v>3</v>
      </c>
      <c r="I101" s="14">
        <v>1</v>
      </c>
      <c r="J101" s="14">
        <v>0.2</v>
      </c>
      <c r="K101">
        <f>VLOOKUP(A101,[1]dataset_2!B:H,2,FALSE)</f>
        <v>0.18179999999999999</v>
      </c>
      <c r="L101">
        <f>VLOOKUP(A101,[1]dataset_2!B:H,3,FALSE)</f>
        <v>0.4</v>
      </c>
      <c r="M101">
        <f>VLOOKUP(A101,[1]dataset_2!B:H,4,FALSE)</f>
        <v>0.29849999999999999</v>
      </c>
      <c r="N101">
        <f>VLOOKUP(A101,[1]dataset_2!B:H,5,FALSE)</f>
        <v>3</v>
      </c>
      <c r="O101">
        <f>VLOOKUP(A101,[1]dataset_2!B:H,6,FALSE)</f>
        <v>192</v>
      </c>
      <c r="P101">
        <f>VLOOKUP(A101,[1]dataset_2!B:H,7,FALSE)</f>
        <v>195</v>
      </c>
      <c r="Q101" t="str">
        <f t="shared" si="3"/>
        <v>Weekday</v>
      </c>
      <c r="R101" t="str">
        <f t="shared" si="4"/>
        <v>Morning</v>
      </c>
      <c r="S101" t="str">
        <f t="shared" si="5"/>
        <v>High</v>
      </c>
    </row>
    <row r="102" spans="1:19">
      <c r="A102" s="14">
        <v>101</v>
      </c>
      <c r="B102" s="15">
        <v>40548</v>
      </c>
      <c r="C102" s="14">
        <v>1</v>
      </c>
      <c r="D102" s="14">
        <v>0</v>
      </c>
      <c r="E102" s="14">
        <v>1</v>
      </c>
      <c r="F102" s="14">
        <v>9</v>
      </c>
      <c r="G102" s="14" t="b">
        <v>0</v>
      </c>
      <c r="H102" s="14">
        <v>3</v>
      </c>
      <c r="I102" s="14">
        <v>1</v>
      </c>
      <c r="J102" s="14">
        <v>0.22</v>
      </c>
      <c r="K102">
        <f>VLOOKUP(A102,[1]dataset_2!B:H,2,FALSE)</f>
        <v>0.19700000000000001</v>
      </c>
      <c r="L102">
        <f>VLOOKUP(A102,[1]dataset_2!B:H,3,FALSE)</f>
        <v>0.37</v>
      </c>
      <c r="M102">
        <f>VLOOKUP(A102,[1]dataset_2!B:H,4,FALSE)</f>
        <v>0.32840000000000003</v>
      </c>
      <c r="N102">
        <f>VLOOKUP(A102,[1]dataset_2!B:H,5,FALSE)</f>
        <v>6</v>
      </c>
      <c r="O102">
        <f>VLOOKUP(A102,[1]dataset_2!B:H,6,FALSE)</f>
        <v>109</v>
      </c>
      <c r="P102">
        <f>VLOOKUP(A102,[1]dataset_2!B:H,7,FALSE)</f>
        <v>115</v>
      </c>
      <c r="Q102" t="str">
        <f t="shared" si="3"/>
        <v>Weekday</v>
      </c>
      <c r="R102" t="str">
        <f t="shared" si="4"/>
        <v>Morning</v>
      </c>
      <c r="S102" t="str">
        <f t="shared" si="5"/>
        <v>High</v>
      </c>
    </row>
    <row r="103" spans="1:19">
      <c r="A103" s="14">
        <v>102</v>
      </c>
      <c r="B103" s="15">
        <v>40548</v>
      </c>
      <c r="C103" s="14">
        <v>1</v>
      </c>
      <c r="D103" s="14">
        <v>0</v>
      </c>
      <c r="E103" s="14">
        <v>1</v>
      </c>
      <c r="F103" s="14">
        <v>10</v>
      </c>
      <c r="G103" s="14" t="b">
        <v>0</v>
      </c>
      <c r="H103" s="14">
        <v>3</v>
      </c>
      <c r="I103" s="14">
        <v>1</v>
      </c>
      <c r="J103" s="14">
        <v>0.22</v>
      </c>
      <c r="K103">
        <f>VLOOKUP(A103,[1]dataset_2!B:H,2,FALSE)</f>
        <v>0.19700000000000001</v>
      </c>
      <c r="L103">
        <f>VLOOKUP(A103,[1]dataset_2!B:H,3,FALSE)</f>
        <v>0.37</v>
      </c>
      <c r="M103">
        <f>VLOOKUP(A103,[1]dataset_2!B:H,4,FALSE)</f>
        <v>0.32840000000000003</v>
      </c>
      <c r="N103">
        <f>VLOOKUP(A103,[1]dataset_2!B:H,5,FALSE)</f>
        <v>4</v>
      </c>
      <c r="O103">
        <f>VLOOKUP(A103,[1]dataset_2!B:H,6,FALSE)</f>
        <v>53</v>
      </c>
      <c r="P103">
        <f>VLOOKUP(A103,[1]dataset_2!B:H,7,FALSE)</f>
        <v>57</v>
      </c>
      <c r="Q103" t="str">
        <f t="shared" si="3"/>
        <v>Weekday</v>
      </c>
      <c r="R103" t="str">
        <f t="shared" si="4"/>
        <v>Morning</v>
      </c>
      <c r="S103" t="str">
        <f t="shared" si="5"/>
        <v>Low</v>
      </c>
    </row>
    <row r="104" spans="1:19">
      <c r="A104" s="14">
        <v>103</v>
      </c>
      <c r="B104" s="15">
        <v>40548</v>
      </c>
      <c r="C104" s="14">
        <v>1</v>
      </c>
      <c r="D104" s="14">
        <v>0</v>
      </c>
      <c r="E104" s="14">
        <v>1</v>
      </c>
      <c r="F104" s="14">
        <v>11</v>
      </c>
      <c r="G104" s="14" t="b">
        <v>0</v>
      </c>
      <c r="H104" s="14">
        <v>3</v>
      </c>
      <c r="I104" s="14">
        <v>1</v>
      </c>
      <c r="J104" s="14">
        <v>0.26</v>
      </c>
      <c r="K104">
        <f>VLOOKUP(A104,[1]dataset_2!B:H,2,FALSE)</f>
        <v>0.2273</v>
      </c>
      <c r="L104">
        <f>VLOOKUP(A104,[1]dataset_2!B:H,3,FALSE)</f>
        <v>0.33</v>
      </c>
      <c r="M104">
        <f>VLOOKUP(A104,[1]dataset_2!B:H,4,FALSE)</f>
        <v>0.32840000000000003</v>
      </c>
      <c r="N104">
        <f>VLOOKUP(A104,[1]dataset_2!B:H,5,FALSE)</f>
        <v>12</v>
      </c>
      <c r="O104">
        <f>VLOOKUP(A104,[1]dataset_2!B:H,6,FALSE)</f>
        <v>34</v>
      </c>
      <c r="P104">
        <f>VLOOKUP(A104,[1]dataset_2!B:H,7,FALSE)</f>
        <v>46</v>
      </c>
      <c r="Q104" t="str">
        <f t="shared" si="3"/>
        <v>Weekday</v>
      </c>
      <c r="R104" t="str">
        <f t="shared" si="4"/>
        <v>Morning</v>
      </c>
      <c r="S104" t="str">
        <f t="shared" si="5"/>
        <v>Low</v>
      </c>
    </row>
    <row r="105" spans="1:19">
      <c r="A105" s="14">
        <v>104</v>
      </c>
      <c r="B105" s="15">
        <v>40548</v>
      </c>
      <c r="C105" s="14">
        <v>1</v>
      </c>
      <c r="D105" s="14">
        <v>0</v>
      </c>
      <c r="E105" s="14">
        <v>1</v>
      </c>
      <c r="F105" s="14">
        <v>12</v>
      </c>
      <c r="G105" s="14" t="b">
        <v>0</v>
      </c>
      <c r="H105" s="14">
        <v>3</v>
      </c>
      <c r="I105" s="14">
        <v>1</v>
      </c>
      <c r="J105" s="14">
        <v>0.26</v>
      </c>
      <c r="K105">
        <f>VLOOKUP(A105,[1]dataset_2!B:H,2,FALSE)</f>
        <v>0.2273</v>
      </c>
      <c r="L105">
        <f>VLOOKUP(A105,[1]dataset_2!B:H,3,FALSE)</f>
        <v>0.33</v>
      </c>
      <c r="M105">
        <f>VLOOKUP(A105,[1]dataset_2!B:H,4,FALSE)</f>
        <v>0.32840000000000003</v>
      </c>
      <c r="N105">
        <f>VLOOKUP(A105,[1]dataset_2!B:H,5,FALSE)</f>
        <v>5</v>
      </c>
      <c r="O105">
        <f>VLOOKUP(A105,[1]dataset_2!B:H,6,FALSE)</f>
        <v>74</v>
      </c>
      <c r="P105">
        <f>VLOOKUP(A105,[1]dataset_2!B:H,7,FALSE)</f>
        <v>79</v>
      </c>
      <c r="Q105" t="str">
        <f t="shared" si="3"/>
        <v>Weekday</v>
      </c>
      <c r="R105" t="str">
        <f t="shared" si="4"/>
        <v>Afternoon</v>
      </c>
      <c r="S105" t="str">
        <f t="shared" si="5"/>
        <v>Low</v>
      </c>
    </row>
    <row r="106" spans="1:19">
      <c r="A106" s="14">
        <v>105</v>
      </c>
      <c r="B106" s="15">
        <v>40548</v>
      </c>
      <c r="C106" s="14">
        <v>1</v>
      </c>
      <c r="D106" s="14">
        <v>0</v>
      </c>
      <c r="E106" s="14">
        <v>1</v>
      </c>
      <c r="F106" s="14">
        <v>13</v>
      </c>
      <c r="G106" s="14" t="b">
        <v>0</v>
      </c>
      <c r="H106" s="14">
        <v>3</v>
      </c>
      <c r="I106" s="14">
        <v>1</v>
      </c>
      <c r="J106" s="14">
        <v>0.28000000000000003</v>
      </c>
      <c r="K106">
        <f>VLOOKUP(A106,[1]dataset_2!B:H,2,FALSE)</f>
        <v>0.2576</v>
      </c>
      <c r="L106">
        <f>VLOOKUP(A106,[1]dataset_2!B:H,3,FALSE)</f>
        <v>0.3</v>
      </c>
      <c r="M106">
        <f>VLOOKUP(A106,[1]dataset_2!B:H,4,FALSE)</f>
        <v>0.29849999999999999</v>
      </c>
      <c r="N106">
        <f>VLOOKUP(A106,[1]dataset_2!B:H,5,FALSE)</f>
        <v>6</v>
      </c>
      <c r="O106">
        <f>VLOOKUP(A106,[1]dataset_2!B:H,6,FALSE)</f>
        <v>65</v>
      </c>
      <c r="P106">
        <f>VLOOKUP(A106,[1]dataset_2!B:H,7,FALSE)</f>
        <v>71</v>
      </c>
      <c r="Q106" t="str">
        <f t="shared" si="3"/>
        <v>Weekday</v>
      </c>
      <c r="R106" t="str">
        <f t="shared" si="4"/>
        <v>Afternoon</v>
      </c>
      <c r="S106" t="str">
        <f t="shared" si="5"/>
        <v>Low</v>
      </c>
    </row>
    <row r="107" spans="1:19">
      <c r="A107" s="14">
        <v>106</v>
      </c>
      <c r="B107" s="15">
        <v>40548</v>
      </c>
      <c r="C107" s="14">
        <v>1</v>
      </c>
      <c r="D107" s="14">
        <v>0</v>
      </c>
      <c r="E107" s="14">
        <v>1</v>
      </c>
      <c r="F107" s="14">
        <v>14</v>
      </c>
      <c r="G107" s="14" t="b">
        <v>0</v>
      </c>
      <c r="H107" s="14">
        <v>3</v>
      </c>
      <c r="I107" s="14">
        <v>1</v>
      </c>
      <c r="J107" s="14">
        <v>0.3</v>
      </c>
      <c r="K107">
        <f>VLOOKUP(A107,[1]dataset_2!B:H,2,FALSE)</f>
        <v>0.28789999999999999</v>
      </c>
      <c r="L107">
        <f>VLOOKUP(A107,[1]dataset_2!B:H,3,FALSE)</f>
        <v>0.28000000000000003</v>
      </c>
      <c r="M107">
        <f>VLOOKUP(A107,[1]dataset_2!B:H,4,FALSE)</f>
        <v>0.19400000000000001</v>
      </c>
      <c r="N107">
        <f>VLOOKUP(A107,[1]dataset_2!B:H,5,FALSE)</f>
        <v>10</v>
      </c>
      <c r="O107">
        <f>VLOOKUP(A107,[1]dataset_2!B:H,6,FALSE)</f>
        <v>52</v>
      </c>
      <c r="P107">
        <f>VLOOKUP(A107,[1]dataset_2!B:H,7,FALSE)</f>
        <v>62</v>
      </c>
      <c r="Q107" t="str">
        <f t="shared" si="3"/>
        <v>Weekday</v>
      </c>
      <c r="R107" t="str">
        <f t="shared" si="4"/>
        <v>Afternoon</v>
      </c>
      <c r="S107" t="str">
        <f t="shared" si="5"/>
        <v>Low</v>
      </c>
    </row>
    <row r="108" spans="1:19">
      <c r="A108" s="14">
        <v>107</v>
      </c>
      <c r="B108" s="15">
        <v>40548</v>
      </c>
      <c r="C108" s="14">
        <v>1</v>
      </c>
      <c r="D108" s="14">
        <v>0</v>
      </c>
      <c r="E108" s="14">
        <v>1</v>
      </c>
      <c r="F108" s="14">
        <v>15</v>
      </c>
      <c r="G108" s="14" t="b">
        <v>0</v>
      </c>
      <c r="H108" s="14">
        <v>3</v>
      </c>
      <c r="I108" s="14">
        <v>1</v>
      </c>
      <c r="J108" s="14">
        <v>0.3</v>
      </c>
      <c r="K108">
        <f>VLOOKUP(A108,[1]dataset_2!B:H,2,FALSE)</f>
        <v>0.28789999999999999</v>
      </c>
      <c r="L108">
        <f>VLOOKUP(A108,[1]dataset_2!B:H,3,FALSE)</f>
        <v>0.28000000000000003</v>
      </c>
      <c r="M108">
        <f>VLOOKUP(A108,[1]dataset_2!B:H,4,FALSE)</f>
        <v>0.19400000000000001</v>
      </c>
      <c r="N108">
        <f>VLOOKUP(A108,[1]dataset_2!B:H,5,FALSE)</f>
        <v>7</v>
      </c>
      <c r="O108">
        <f>VLOOKUP(A108,[1]dataset_2!B:H,6,FALSE)</f>
        <v>55</v>
      </c>
      <c r="P108">
        <f>VLOOKUP(A108,[1]dataset_2!B:H,7,FALSE)</f>
        <v>62</v>
      </c>
      <c r="Q108" t="str">
        <f t="shared" si="3"/>
        <v>Weekday</v>
      </c>
      <c r="R108" t="str">
        <f t="shared" si="4"/>
        <v>Afternoon</v>
      </c>
      <c r="S108" t="str">
        <f t="shared" si="5"/>
        <v>Low</v>
      </c>
    </row>
    <row r="109" spans="1:19">
      <c r="A109" s="14">
        <v>108</v>
      </c>
      <c r="B109" s="15">
        <v>40548</v>
      </c>
      <c r="C109" s="14">
        <v>1</v>
      </c>
      <c r="D109" s="14">
        <v>0</v>
      </c>
      <c r="E109" s="14">
        <v>1</v>
      </c>
      <c r="F109" s="14">
        <v>16</v>
      </c>
      <c r="G109" s="14" t="b">
        <v>0</v>
      </c>
      <c r="H109" s="14">
        <v>3</v>
      </c>
      <c r="I109" s="14">
        <v>1</v>
      </c>
      <c r="J109" s="14">
        <v>0.3</v>
      </c>
      <c r="K109">
        <f>VLOOKUP(A109,[1]dataset_2!B:H,2,FALSE)</f>
        <v>0.31819999999999998</v>
      </c>
      <c r="L109">
        <f>VLOOKUP(A109,[1]dataset_2!B:H,3,FALSE)</f>
        <v>0.28000000000000003</v>
      </c>
      <c r="M109">
        <f>VLOOKUP(A109,[1]dataset_2!B:H,4,FALSE)</f>
        <v>8.9599999999999999E-2</v>
      </c>
      <c r="N109">
        <f>VLOOKUP(A109,[1]dataset_2!B:H,5,FALSE)</f>
        <v>4</v>
      </c>
      <c r="O109">
        <f>VLOOKUP(A109,[1]dataset_2!B:H,6,FALSE)</f>
        <v>85</v>
      </c>
      <c r="P109">
        <f>VLOOKUP(A109,[1]dataset_2!B:H,7,FALSE)</f>
        <v>89</v>
      </c>
      <c r="Q109" t="str">
        <f t="shared" si="3"/>
        <v>Weekday</v>
      </c>
      <c r="R109" t="str">
        <f t="shared" si="4"/>
        <v>Afternoon</v>
      </c>
      <c r="S109" t="str">
        <f t="shared" si="5"/>
        <v>Low</v>
      </c>
    </row>
    <row r="110" spans="1:19">
      <c r="A110" s="14">
        <v>109</v>
      </c>
      <c r="B110" s="15">
        <v>40548</v>
      </c>
      <c r="C110" s="14">
        <v>1</v>
      </c>
      <c r="D110" s="14">
        <v>0</v>
      </c>
      <c r="E110" s="14">
        <v>1</v>
      </c>
      <c r="F110" s="14">
        <v>17</v>
      </c>
      <c r="G110" s="14" t="b">
        <v>0</v>
      </c>
      <c r="H110" s="14">
        <v>3</v>
      </c>
      <c r="I110" s="14">
        <v>1</v>
      </c>
      <c r="J110" s="14">
        <v>0.24</v>
      </c>
      <c r="K110">
        <f>VLOOKUP(A110,[1]dataset_2!B:H,2,FALSE)</f>
        <v>0.2273</v>
      </c>
      <c r="L110">
        <f>VLOOKUP(A110,[1]dataset_2!B:H,3,FALSE)</f>
        <v>0.38</v>
      </c>
      <c r="M110">
        <f>VLOOKUP(A110,[1]dataset_2!B:H,4,FALSE)</f>
        <v>0.19400000000000001</v>
      </c>
      <c r="N110">
        <f>VLOOKUP(A110,[1]dataset_2!B:H,5,FALSE)</f>
        <v>4</v>
      </c>
      <c r="O110">
        <f>VLOOKUP(A110,[1]dataset_2!B:H,6,FALSE)</f>
        <v>186</v>
      </c>
      <c r="P110">
        <f>VLOOKUP(A110,[1]dataset_2!B:H,7,FALSE)</f>
        <v>190</v>
      </c>
      <c r="Q110" t="str">
        <f t="shared" si="3"/>
        <v>Weekday</v>
      </c>
      <c r="R110" t="str">
        <f t="shared" si="4"/>
        <v>Afternoon</v>
      </c>
      <c r="S110" t="str">
        <f t="shared" si="5"/>
        <v>High</v>
      </c>
    </row>
    <row r="111" spans="1:19">
      <c r="A111" s="14">
        <v>110</v>
      </c>
      <c r="B111" s="15">
        <v>40548</v>
      </c>
      <c r="C111" s="14">
        <v>1</v>
      </c>
      <c r="D111" s="14">
        <v>0</v>
      </c>
      <c r="E111" s="14">
        <v>1</v>
      </c>
      <c r="F111" s="14">
        <v>18</v>
      </c>
      <c r="G111" s="14" t="b">
        <v>0</v>
      </c>
      <c r="H111" s="14">
        <v>3</v>
      </c>
      <c r="I111" s="14">
        <v>1</v>
      </c>
      <c r="J111" s="14">
        <v>0.24</v>
      </c>
      <c r="K111">
        <f>VLOOKUP(A111,[1]dataset_2!B:H,2,FALSE)</f>
        <v>0.2424</v>
      </c>
      <c r="L111">
        <f>VLOOKUP(A111,[1]dataset_2!B:H,3,FALSE)</f>
        <v>0.38</v>
      </c>
      <c r="M111">
        <f>VLOOKUP(A111,[1]dataset_2!B:H,4,FALSE)</f>
        <v>0.1343</v>
      </c>
      <c r="N111">
        <f>VLOOKUP(A111,[1]dataset_2!B:H,5,FALSE)</f>
        <v>3</v>
      </c>
      <c r="O111">
        <f>VLOOKUP(A111,[1]dataset_2!B:H,6,FALSE)</f>
        <v>166</v>
      </c>
      <c r="P111">
        <f>VLOOKUP(A111,[1]dataset_2!B:H,7,FALSE)</f>
        <v>169</v>
      </c>
      <c r="Q111" t="str">
        <f t="shared" si="3"/>
        <v>Weekday</v>
      </c>
      <c r="R111" t="str">
        <f t="shared" si="4"/>
        <v>Evening</v>
      </c>
      <c r="S111" t="str">
        <f t="shared" si="5"/>
        <v>High</v>
      </c>
    </row>
    <row r="112" spans="1:19">
      <c r="A112" s="14">
        <v>111</v>
      </c>
      <c r="B112" s="15">
        <v>40548</v>
      </c>
      <c r="C112" s="14">
        <v>1</v>
      </c>
      <c r="D112" s="14">
        <v>0</v>
      </c>
      <c r="E112" s="14">
        <v>1</v>
      </c>
      <c r="F112" s="14">
        <v>19</v>
      </c>
      <c r="G112" s="14" t="b">
        <v>0</v>
      </c>
      <c r="H112" s="14">
        <v>3</v>
      </c>
      <c r="I112" s="14">
        <v>1</v>
      </c>
      <c r="J112" s="14">
        <v>0.24</v>
      </c>
      <c r="K112">
        <f>VLOOKUP(A112,[1]dataset_2!B:H,2,FALSE)</f>
        <v>0.2576</v>
      </c>
      <c r="L112">
        <f>VLOOKUP(A112,[1]dataset_2!B:H,3,FALSE)</f>
        <v>0.38</v>
      </c>
      <c r="M112">
        <f>VLOOKUP(A112,[1]dataset_2!B:H,4,FALSE)</f>
        <v>0.1045</v>
      </c>
      <c r="N112">
        <f>VLOOKUP(A112,[1]dataset_2!B:H,5,FALSE)</f>
        <v>5</v>
      </c>
      <c r="O112">
        <f>VLOOKUP(A112,[1]dataset_2!B:H,6,FALSE)</f>
        <v>127</v>
      </c>
      <c r="P112">
        <f>VLOOKUP(A112,[1]dataset_2!B:H,7,FALSE)</f>
        <v>132</v>
      </c>
      <c r="Q112" t="str">
        <f t="shared" si="3"/>
        <v>Weekday</v>
      </c>
      <c r="R112" t="str">
        <f t="shared" si="4"/>
        <v>Evening</v>
      </c>
      <c r="S112" t="str">
        <f t="shared" si="5"/>
        <v>High</v>
      </c>
    </row>
    <row r="113" spans="1:19">
      <c r="A113" s="14">
        <v>112</v>
      </c>
      <c r="B113" s="15">
        <v>40548</v>
      </c>
      <c r="C113" s="14">
        <v>1</v>
      </c>
      <c r="D113" s="14">
        <v>0</v>
      </c>
      <c r="E113" s="14">
        <v>1</v>
      </c>
      <c r="F113" s="14">
        <v>20</v>
      </c>
      <c r="G113" s="14" t="b">
        <v>0</v>
      </c>
      <c r="H113" s="14">
        <v>3</v>
      </c>
      <c r="I113" s="14">
        <v>1</v>
      </c>
      <c r="J113" s="14">
        <v>0.22</v>
      </c>
      <c r="K113">
        <f>VLOOKUP(A113,[1]dataset_2!B:H,2,FALSE)</f>
        <v>0.2273</v>
      </c>
      <c r="L113">
        <f>VLOOKUP(A113,[1]dataset_2!B:H,3,FALSE)</f>
        <v>0.47</v>
      </c>
      <c r="M113">
        <f>VLOOKUP(A113,[1]dataset_2!B:H,4,FALSE)</f>
        <v>0.16420000000000001</v>
      </c>
      <c r="N113">
        <f>VLOOKUP(A113,[1]dataset_2!B:H,5,FALSE)</f>
        <v>7</v>
      </c>
      <c r="O113">
        <f>VLOOKUP(A113,[1]dataset_2!B:H,6,FALSE)</f>
        <v>82</v>
      </c>
      <c r="P113">
        <f>VLOOKUP(A113,[1]dataset_2!B:H,7,FALSE)</f>
        <v>89</v>
      </c>
      <c r="Q113" t="str">
        <f t="shared" si="3"/>
        <v>Weekday</v>
      </c>
      <c r="R113" t="str">
        <f t="shared" si="4"/>
        <v>Evening</v>
      </c>
      <c r="S113" t="str">
        <f t="shared" si="5"/>
        <v>Low</v>
      </c>
    </row>
    <row r="114" spans="1:19">
      <c r="A114" s="14">
        <v>113</v>
      </c>
      <c r="B114" s="15">
        <v>40548</v>
      </c>
      <c r="C114" s="14">
        <v>1</v>
      </c>
      <c r="D114" s="14">
        <v>0</v>
      </c>
      <c r="E114" s="14">
        <v>1</v>
      </c>
      <c r="F114" s="14">
        <v>21</v>
      </c>
      <c r="G114" s="14" t="b">
        <v>0</v>
      </c>
      <c r="H114" s="14">
        <v>3</v>
      </c>
      <c r="I114" s="14">
        <v>1</v>
      </c>
      <c r="J114" s="14">
        <v>0.2</v>
      </c>
      <c r="K114">
        <f>VLOOKUP(A114,[1]dataset_2!B:H,2,FALSE)</f>
        <v>0.19700000000000001</v>
      </c>
      <c r="L114">
        <f>VLOOKUP(A114,[1]dataset_2!B:H,3,FALSE)</f>
        <v>0.51</v>
      </c>
      <c r="M114">
        <f>VLOOKUP(A114,[1]dataset_2!B:H,4,FALSE)</f>
        <v>0.19400000000000001</v>
      </c>
      <c r="N114">
        <f>VLOOKUP(A114,[1]dataset_2!B:H,5,FALSE)</f>
        <v>3</v>
      </c>
      <c r="O114">
        <f>VLOOKUP(A114,[1]dataset_2!B:H,6,FALSE)</f>
        <v>40</v>
      </c>
      <c r="P114">
        <f>VLOOKUP(A114,[1]dataset_2!B:H,7,FALSE)</f>
        <v>43</v>
      </c>
      <c r="Q114" t="str">
        <f t="shared" si="3"/>
        <v>Weekday</v>
      </c>
      <c r="R114" t="str">
        <f t="shared" si="4"/>
        <v>Evening</v>
      </c>
      <c r="S114" t="str">
        <f t="shared" si="5"/>
        <v>Low</v>
      </c>
    </row>
    <row r="115" spans="1:19">
      <c r="A115" s="14">
        <v>114</v>
      </c>
      <c r="B115" s="15">
        <v>40548</v>
      </c>
      <c r="C115" s="14">
        <v>1</v>
      </c>
      <c r="D115" s="14">
        <v>0</v>
      </c>
      <c r="E115" s="14">
        <v>1</v>
      </c>
      <c r="F115" s="14">
        <v>22</v>
      </c>
      <c r="G115" s="14" t="b">
        <v>0</v>
      </c>
      <c r="H115" s="14">
        <v>3</v>
      </c>
      <c r="I115" s="14">
        <v>1</v>
      </c>
      <c r="J115" s="14">
        <v>0.18</v>
      </c>
      <c r="K115">
        <f>VLOOKUP(A115,[1]dataset_2!B:H,2,FALSE)</f>
        <v>0.19700000000000001</v>
      </c>
      <c r="L115">
        <f>VLOOKUP(A115,[1]dataset_2!B:H,3,FALSE)</f>
        <v>0.55000000000000004</v>
      </c>
      <c r="M115">
        <f>VLOOKUP(A115,[1]dataset_2!B:H,4,FALSE)</f>
        <v>0.1343</v>
      </c>
      <c r="N115">
        <f>VLOOKUP(A115,[1]dataset_2!B:H,5,FALSE)</f>
        <v>1</v>
      </c>
      <c r="O115">
        <f>VLOOKUP(A115,[1]dataset_2!B:H,6,FALSE)</f>
        <v>41</v>
      </c>
      <c r="P115">
        <f>VLOOKUP(A115,[1]dataset_2!B:H,7,FALSE)</f>
        <v>42</v>
      </c>
      <c r="Q115" t="str">
        <f t="shared" si="3"/>
        <v>Weekday</v>
      </c>
      <c r="R115" t="str">
        <f t="shared" si="4"/>
        <v>Evening</v>
      </c>
      <c r="S115" t="str">
        <f t="shared" si="5"/>
        <v>Low</v>
      </c>
    </row>
    <row r="116" spans="1:19">
      <c r="A116" s="14">
        <v>115</v>
      </c>
      <c r="B116" s="15">
        <v>40548</v>
      </c>
      <c r="C116" s="14">
        <v>1</v>
      </c>
      <c r="D116" s="14">
        <v>0</v>
      </c>
      <c r="E116" s="14">
        <v>1</v>
      </c>
      <c r="F116" s="14">
        <v>23</v>
      </c>
      <c r="G116" s="14" t="b">
        <v>0</v>
      </c>
      <c r="H116" s="14">
        <v>3</v>
      </c>
      <c r="I116" s="14">
        <v>1</v>
      </c>
      <c r="J116" s="14">
        <v>0.2</v>
      </c>
      <c r="K116">
        <f>VLOOKUP(A116,[1]dataset_2!B:H,2,FALSE)</f>
        <v>0.2576</v>
      </c>
      <c r="L116">
        <f>VLOOKUP(A116,[1]dataset_2!B:H,3,FALSE)</f>
        <v>0.47</v>
      </c>
      <c r="M116">
        <f>VLOOKUP(A116,[1]dataset_2!B:H,4,FALSE)</f>
        <v>0</v>
      </c>
      <c r="N116">
        <f>VLOOKUP(A116,[1]dataset_2!B:H,5,FALSE)</f>
        <v>1</v>
      </c>
      <c r="O116">
        <f>VLOOKUP(A116,[1]dataset_2!B:H,6,FALSE)</f>
        <v>18</v>
      </c>
      <c r="P116">
        <f>VLOOKUP(A116,[1]dataset_2!B:H,7,FALSE)</f>
        <v>19</v>
      </c>
      <c r="Q116" t="str">
        <f t="shared" si="3"/>
        <v>Weekday</v>
      </c>
      <c r="R116" t="str">
        <f t="shared" si="4"/>
        <v>Evening</v>
      </c>
      <c r="S116" t="str">
        <f t="shared" si="5"/>
        <v>Low</v>
      </c>
    </row>
    <row r="117" spans="1:19">
      <c r="A117" s="14">
        <v>116</v>
      </c>
      <c r="B117" s="15">
        <v>40549</v>
      </c>
      <c r="C117" s="14">
        <v>1</v>
      </c>
      <c r="D117" s="14">
        <v>0</v>
      </c>
      <c r="E117" s="14">
        <v>1</v>
      </c>
      <c r="F117" s="14">
        <v>0</v>
      </c>
      <c r="G117" s="14" t="b">
        <v>0</v>
      </c>
      <c r="H117" s="14">
        <v>4</v>
      </c>
      <c r="I117" s="14">
        <v>1</v>
      </c>
      <c r="J117" s="14">
        <v>0.18</v>
      </c>
      <c r="K117">
        <f>VLOOKUP(A117,[1]dataset_2!B:H,2,FALSE)</f>
        <v>0.2424</v>
      </c>
      <c r="L117">
        <f>VLOOKUP(A117,[1]dataset_2!B:H,3,FALSE)</f>
        <v>0.55000000000000004</v>
      </c>
      <c r="M117">
        <f>VLOOKUP(A117,[1]dataset_2!B:H,4,FALSE)</f>
        <v>0</v>
      </c>
      <c r="N117">
        <f>VLOOKUP(A117,[1]dataset_2!B:H,5,FALSE)</f>
        <v>0</v>
      </c>
      <c r="O117">
        <f>VLOOKUP(A117,[1]dataset_2!B:H,6,FALSE)</f>
        <v>11</v>
      </c>
      <c r="P117">
        <f>VLOOKUP(A117,[1]dataset_2!B:H,7,FALSE)</f>
        <v>11</v>
      </c>
      <c r="Q117" t="str">
        <f t="shared" si="3"/>
        <v>Weekday</v>
      </c>
      <c r="R117" t="str">
        <f t="shared" si="4"/>
        <v>Morning</v>
      </c>
      <c r="S117" t="str">
        <f t="shared" si="5"/>
        <v>Low</v>
      </c>
    </row>
    <row r="118" spans="1:19">
      <c r="A118" s="14">
        <v>117</v>
      </c>
      <c r="B118" s="15">
        <v>40549</v>
      </c>
      <c r="C118" s="14">
        <v>1</v>
      </c>
      <c r="D118" s="14">
        <v>0</v>
      </c>
      <c r="E118" s="14">
        <v>1</v>
      </c>
      <c r="F118" s="14">
        <v>1</v>
      </c>
      <c r="G118" s="14" t="b">
        <v>0</v>
      </c>
      <c r="H118" s="14">
        <v>4</v>
      </c>
      <c r="I118" s="14">
        <v>1</v>
      </c>
      <c r="J118" s="14">
        <v>0.16</v>
      </c>
      <c r="K118">
        <f>VLOOKUP(A118,[1]dataset_2!B:H,2,FALSE)</f>
        <v>0.2273</v>
      </c>
      <c r="L118">
        <f>VLOOKUP(A118,[1]dataset_2!B:H,3,FALSE)</f>
        <v>0.64</v>
      </c>
      <c r="M118">
        <f>VLOOKUP(A118,[1]dataset_2!B:H,4,FALSE)</f>
        <v>0</v>
      </c>
      <c r="N118">
        <f>VLOOKUP(A118,[1]dataset_2!B:H,5,FALSE)</f>
        <v>0</v>
      </c>
      <c r="O118">
        <f>VLOOKUP(A118,[1]dataset_2!B:H,6,FALSE)</f>
        <v>4</v>
      </c>
      <c r="P118">
        <f>VLOOKUP(A118,[1]dataset_2!B:H,7,FALSE)</f>
        <v>4</v>
      </c>
      <c r="Q118" t="str">
        <f t="shared" si="3"/>
        <v>Weekday</v>
      </c>
      <c r="R118" t="str">
        <f t="shared" si="4"/>
        <v>Morning</v>
      </c>
      <c r="S118" t="str">
        <f t="shared" si="5"/>
        <v>Low</v>
      </c>
    </row>
    <row r="119" spans="1:19">
      <c r="A119" s="14">
        <v>118</v>
      </c>
      <c r="B119" s="15">
        <v>40549</v>
      </c>
      <c r="C119" s="14">
        <v>1</v>
      </c>
      <c r="D119" s="14">
        <v>0</v>
      </c>
      <c r="E119" s="14">
        <v>1</v>
      </c>
      <c r="F119" s="14">
        <v>2</v>
      </c>
      <c r="G119" s="14" t="b">
        <v>0</v>
      </c>
      <c r="H119" s="14">
        <v>4</v>
      </c>
      <c r="I119" s="14">
        <v>1</v>
      </c>
      <c r="J119" s="14">
        <v>0.16</v>
      </c>
      <c r="K119">
        <f>VLOOKUP(A119,[1]dataset_2!B:H,2,FALSE)</f>
        <v>0.2273</v>
      </c>
      <c r="L119">
        <f>VLOOKUP(A119,[1]dataset_2!B:H,3,FALSE)</f>
        <v>0.64</v>
      </c>
      <c r="M119">
        <f>VLOOKUP(A119,[1]dataset_2!B:H,4,FALSE)</f>
        <v>0</v>
      </c>
      <c r="N119">
        <f>VLOOKUP(A119,[1]dataset_2!B:H,5,FALSE)</f>
        <v>0</v>
      </c>
      <c r="O119">
        <f>VLOOKUP(A119,[1]dataset_2!B:H,6,FALSE)</f>
        <v>2</v>
      </c>
      <c r="P119">
        <f>VLOOKUP(A119,[1]dataset_2!B:H,7,FALSE)</f>
        <v>2</v>
      </c>
      <c r="Q119" t="str">
        <f t="shared" si="3"/>
        <v>Weekday</v>
      </c>
      <c r="R119" t="str">
        <f t="shared" si="4"/>
        <v>Morning</v>
      </c>
      <c r="S119" t="str">
        <f t="shared" si="5"/>
        <v>Low</v>
      </c>
    </row>
    <row r="120" spans="1:19">
      <c r="A120" s="14">
        <v>119</v>
      </c>
      <c r="B120" s="15">
        <v>40549</v>
      </c>
      <c r="C120" s="14">
        <v>1</v>
      </c>
      <c r="D120" s="14">
        <v>0</v>
      </c>
      <c r="E120" s="14">
        <v>1</v>
      </c>
      <c r="F120" s="14">
        <v>4</v>
      </c>
      <c r="G120" s="14" t="b">
        <v>0</v>
      </c>
      <c r="H120" s="14">
        <v>4</v>
      </c>
      <c r="I120" s="14">
        <v>2</v>
      </c>
      <c r="J120" s="14">
        <v>0.16</v>
      </c>
      <c r="K120">
        <f>VLOOKUP(A120,[1]dataset_2!B:H,2,FALSE)</f>
        <v>0.19700000000000001</v>
      </c>
      <c r="L120">
        <f>VLOOKUP(A120,[1]dataset_2!B:H,3,FALSE)</f>
        <v>0.64</v>
      </c>
      <c r="M120">
        <f>VLOOKUP(A120,[1]dataset_2!B:H,4,FALSE)</f>
        <v>8.9599999999999999E-2</v>
      </c>
      <c r="N120">
        <f>VLOOKUP(A120,[1]dataset_2!B:H,5,FALSE)</f>
        <v>0</v>
      </c>
      <c r="O120">
        <f>VLOOKUP(A120,[1]dataset_2!B:H,6,FALSE)</f>
        <v>1</v>
      </c>
      <c r="P120">
        <f>VLOOKUP(A120,[1]dataset_2!B:H,7,FALSE)</f>
        <v>1</v>
      </c>
      <c r="Q120" t="str">
        <f t="shared" si="3"/>
        <v>Weekday</v>
      </c>
      <c r="R120" t="str">
        <f t="shared" si="4"/>
        <v>Morning</v>
      </c>
      <c r="S120" t="str">
        <f t="shared" si="5"/>
        <v>Low</v>
      </c>
    </row>
    <row r="121" spans="1:19">
      <c r="A121" s="14">
        <v>120</v>
      </c>
      <c r="B121" s="15">
        <v>40549</v>
      </c>
      <c r="C121" s="14">
        <v>1</v>
      </c>
      <c r="D121" s="14">
        <v>0</v>
      </c>
      <c r="E121" s="14">
        <v>1</v>
      </c>
      <c r="F121" s="14">
        <v>5</v>
      </c>
      <c r="G121" s="14" t="b">
        <v>0</v>
      </c>
      <c r="H121" s="14">
        <v>4</v>
      </c>
      <c r="I121" s="14">
        <v>2</v>
      </c>
      <c r="J121" s="14">
        <v>0.14000000000000001</v>
      </c>
      <c r="K121">
        <f>VLOOKUP(A121,[1]dataset_2!B:H,2,FALSE)</f>
        <v>0.18179999999999999</v>
      </c>
      <c r="L121">
        <f>VLOOKUP(A121,[1]dataset_2!B:H,3,FALSE)</f>
        <v>0.69</v>
      </c>
      <c r="M121">
        <f>VLOOKUP(A121,[1]dataset_2!B:H,4,FALSE)</f>
        <v>8.9599999999999999E-2</v>
      </c>
      <c r="N121">
        <f>VLOOKUP(A121,[1]dataset_2!B:H,5,FALSE)</f>
        <v>0</v>
      </c>
      <c r="O121">
        <f>VLOOKUP(A121,[1]dataset_2!B:H,6,FALSE)</f>
        <v>4</v>
      </c>
      <c r="P121">
        <f>VLOOKUP(A121,[1]dataset_2!B:H,7,FALSE)</f>
        <v>4</v>
      </c>
      <c r="Q121" t="str">
        <f t="shared" si="3"/>
        <v>Weekday</v>
      </c>
      <c r="R121" t="str">
        <f t="shared" si="4"/>
        <v>Morning</v>
      </c>
      <c r="S121" t="str">
        <f t="shared" si="5"/>
        <v>Low</v>
      </c>
    </row>
    <row r="122" spans="1:19">
      <c r="A122" s="14">
        <v>121</v>
      </c>
      <c r="B122" s="15">
        <v>40549</v>
      </c>
      <c r="C122" s="14">
        <v>1</v>
      </c>
      <c r="D122" s="14">
        <v>0</v>
      </c>
      <c r="E122" s="14">
        <v>1</v>
      </c>
      <c r="F122" s="14">
        <v>6</v>
      </c>
      <c r="G122" s="14" t="b">
        <v>0</v>
      </c>
      <c r="H122" s="14">
        <v>4</v>
      </c>
      <c r="I122" s="14">
        <v>2</v>
      </c>
      <c r="J122" s="14">
        <v>0.14000000000000001</v>
      </c>
      <c r="K122">
        <f>VLOOKUP(A122,[1]dataset_2!B:H,2,FALSE)</f>
        <v>0.16669999999999999</v>
      </c>
      <c r="L122">
        <f>VLOOKUP(A122,[1]dataset_2!B:H,3,FALSE)</f>
        <v>0.63</v>
      </c>
      <c r="M122">
        <f>VLOOKUP(A122,[1]dataset_2!B:H,4,FALSE)</f>
        <v>0.1045</v>
      </c>
      <c r="N122">
        <f>VLOOKUP(A122,[1]dataset_2!B:H,5,FALSE)</f>
        <v>0</v>
      </c>
      <c r="O122">
        <f>VLOOKUP(A122,[1]dataset_2!B:H,6,FALSE)</f>
        <v>36</v>
      </c>
      <c r="P122">
        <f>VLOOKUP(A122,[1]dataset_2!B:H,7,FALSE)</f>
        <v>36</v>
      </c>
      <c r="Q122" t="str">
        <f t="shared" si="3"/>
        <v>Weekday</v>
      </c>
      <c r="R122" t="str">
        <f t="shared" si="4"/>
        <v>Morning</v>
      </c>
      <c r="S122" t="str">
        <f t="shared" si="5"/>
        <v>Low</v>
      </c>
    </row>
    <row r="123" spans="1:19">
      <c r="A123" s="14">
        <v>122</v>
      </c>
      <c r="B123" s="15">
        <v>40549</v>
      </c>
      <c r="C123" s="14">
        <v>1</v>
      </c>
      <c r="D123" s="14">
        <v>0</v>
      </c>
      <c r="E123" s="14">
        <v>1</v>
      </c>
      <c r="F123" s="14">
        <v>7</v>
      </c>
      <c r="G123" s="14" t="b">
        <v>0</v>
      </c>
      <c r="H123" s="14">
        <v>4</v>
      </c>
      <c r="I123" s="14">
        <v>2</v>
      </c>
      <c r="J123" s="14">
        <v>0.16</v>
      </c>
      <c r="K123">
        <f>VLOOKUP(A123,[1]dataset_2!B:H,2,FALSE)</f>
        <v>0.2273</v>
      </c>
      <c r="L123">
        <f>VLOOKUP(A123,[1]dataset_2!B:H,3,FALSE)</f>
        <v>0.59</v>
      </c>
      <c r="M123">
        <f>VLOOKUP(A123,[1]dataset_2!B:H,4,FALSE)</f>
        <v>0</v>
      </c>
      <c r="N123">
        <f>VLOOKUP(A123,[1]dataset_2!B:H,5,FALSE)</f>
        <v>0</v>
      </c>
      <c r="O123">
        <f>VLOOKUP(A123,[1]dataset_2!B:H,6,FALSE)</f>
        <v>95</v>
      </c>
      <c r="P123">
        <f>VLOOKUP(A123,[1]dataset_2!B:H,7,FALSE)</f>
        <v>95</v>
      </c>
      <c r="Q123" t="str">
        <f t="shared" si="3"/>
        <v>Weekday</v>
      </c>
      <c r="R123" t="str">
        <f t="shared" si="4"/>
        <v>Morning</v>
      </c>
      <c r="S123" t="str">
        <f t="shared" si="5"/>
        <v>Low</v>
      </c>
    </row>
    <row r="124" spans="1:19">
      <c r="A124" s="14">
        <v>123</v>
      </c>
      <c r="B124" s="15">
        <v>40549</v>
      </c>
      <c r="C124" s="14">
        <v>1</v>
      </c>
      <c r="D124" s="14">
        <v>0</v>
      </c>
      <c r="E124" s="14">
        <v>1</v>
      </c>
      <c r="F124" s="14">
        <v>8</v>
      </c>
      <c r="G124" s="14" t="b">
        <v>0</v>
      </c>
      <c r="H124" s="14">
        <v>4</v>
      </c>
      <c r="I124" s="14">
        <v>1</v>
      </c>
      <c r="J124" s="14">
        <v>0.16</v>
      </c>
      <c r="K124">
        <f>VLOOKUP(A124,[1]dataset_2!B:H,2,FALSE)</f>
        <v>0.2273</v>
      </c>
      <c r="L124">
        <f>VLOOKUP(A124,[1]dataset_2!B:H,3,FALSE)</f>
        <v>0.59</v>
      </c>
      <c r="M124">
        <f>VLOOKUP(A124,[1]dataset_2!B:H,4,FALSE)</f>
        <v>0</v>
      </c>
      <c r="N124">
        <f>VLOOKUP(A124,[1]dataset_2!B:H,5,FALSE)</f>
        <v>3</v>
      </c>
      <c r="O124">
        <f>VLOOKUP(A124,[1]dataset_2!B:H,6,FALSE)</f>
        <v>216</v>
      </c>
      <c r="P124">
        <f>VLOOKUP(A124,[1]dataset_2!B:H,7,FALSE)</f>
        <v>219</v>
      </c>
      <c r="Q124" t="str">
        <f t="shared" si="3"/>
        <v>Weekday</v>
      </c>
      <c r="R124" t="str">
        <f t="shared" si="4"/>
        <v>Morning</v>
      </c>
      <c r="S124" t="str">
        <f t="shared" si="5"/>
        <v>High</v>
      </c>
    </row>
    <row r="125" spans="1:19">
      <c r="A125" s="14">
        <v>124</v>
      </c>
      <c r="B125" s="15">
        <v>40549</v>
      </c>
      <c r="C125" s="14">
        <v>1</v>
      </c>
      <c r="D125" s="14">
        <v>0</v>
      </c>
      <c r="E125" s="14">
        <v>1</v>
      </c>
      <c r="F125" s="14">
        <v>9</v>
      </c>
      <c r="G125" s="14" t="b">
        <v>0</v>
      </c>
      <c r="H125" s="14">
        <v>4</v>
      </c>
      <c r="I125" s="14">
        <v>2</v>
      </c>
      <c r="J125" s="14">
        <v>0.18</v>
      </c>
      <c r="K125">
        <f>VLOOKUP(A125,[1]dataset_2!B:H,2,FALSE)</f>
        <v>0.2424</v>
      </c>
      <c r="L125">
        <f>VLOOKUP(A125,[1]dataset_2!B:H,3,FALSE)</f>
        <v>0.51</v>
      </c>
      <c r="M125">
        <f>VLOOKUP(A125,[1]dataset_2!B:H,4,FALSE)</f>
        <v>0</v>
      </c>
      <c r="N125">
        <f>VLOOKUP(A125,[1]dataset_2!B:H,5,FALSE)</f>
        <v>6</v>
      </c>
      <c r="O125">
        <f>VLOOKUP(A125,[1]dataset_2!B:H,6,FALSE)</f>
        <v>116</v>
      </c>
      <c r="P125">
        <f>VLOOKUP(A125,[1]dataset_2!B:H,7,FALSE)</f>
        <v>122</v>
      </c>
      <c r="Q125" t="str">
        <f t="shared" si="3"/>
        <v>Weekday</v>
      </c>
      <c r="R125" t="str">
        <f t="shared" si="4"/>
        <v>Morning</v>
      </c>
      <c r="S125" t="str">
        <f t="shared" si="5"/>
        <v>High</v>
      </c>
    </row>
    <row r="126" spans="1:19">
      <c r="A126" s="14">
        <v>125</v>
      </c>
      <c r="B126" s="15">
        <v>40549</v>
      </c>
      <c r="C126" s="14">
        <v>1</v>
      </c>
      <c r="D126" s="14">
        <v>0</v>
      </c>
      <c r="E126" s="14">
        <v>1</v>
      </c>
      <c r="F126" s="14">
        <v>10</v>
      </c>
      <c r="G126" s="14" t="b">
        <v>0</v>
      </c>
      <c r="H126" s="14">
        <v>4</v>
      </c>
      <c r="I126" s="14">
        <v>1</v>
      </c>
      <c r="J126" s="14">
        <v>0.2</v>
      </c>
      <c r="K126">
        <f>VLOOKUP(A126,[1]dataset_2!B:H,2,FALSE)</f>
        <v>0.2576</v>
      </c>
      <c r="L126">
        <f>VLOOKUP(A126,[1]dataset_2!B:H,3,FALSE)</f>
        <v>0.47</v>
      </c>
      <c r="M126">
        <f>VLOOKUP(A126,[1]dataset_2!B:H,4,FALSE)</f>
        <v>0</v>
      </c>
      <c r="N126">
        <f>VLOOKUP(A126,[1]dataset_2!B:H,5,FALSE)</f>
        <v>3</v>
      </c>
      <c r="O126">
        <f>VLOOKUP(A126,[1]dataset_2!B:H,6,FALSE)</f>
        <v>42</v>
      </c>
      <c r="P126">
        <f>VLOOKUP(A126,[1]dataset_2!B:H,7,FALSE)</f>
        <v>45</v>
      </c>
      <c r="Q126" t="str">
        <f t="shared" si="3"/>
        <v>Weekday</v>
      </c>
      <c r="R126" t="str">
        <f t="shared" si="4"/>
        <v>Morning</v>
      </c>
      <c r="S126" t="str">
        <f t="shared" si="5"/>
        <v>Low</v>
      </c>
    </row>
    <row r="127" spans="1:19">
      <c r="A127" s="14">
        <v>126</v>
      </c>
      <c r="B127" s="15">
        <v>40549</v>
      </c>
      <c r="C127" s="14">
        <v>1</v>
      </c>
      <c r="D127" s="14">
        <v>0</v>
      </c>
      <c r="E127" s="14">
        <v>1</v>
      </c>
      <c r="F127" s="14">
        <v>11</v>
      </c>
      <c r="G127" s="14" t="b">
        <v>0</v>
      </c>
      <c r="H127" s="14">
        <v>4</v>
      </c>
      <c r="I127" s="14">
        <v>1</v>
      </c>
      <c r="J127" s="14">
        <v>0.22</v>
      </c>
      <c r="K127">
        <f>VLOOKUP(A127,[1]dataset_2!B:H,2,FALSE)</f>
        <v>0.2576</v>
      </c>
      <c r="L127">
        <f>VLOOKUP(A127,[1]dataset_2!B:H,3,FALSE)</f>
        <v>0.44</v>
      </c>
      <c r="M127">
        <f>VLOOKUP(A127,[1]dataset_2!B:H,4,FALSE)</f>
        <v>8.9599999999999999E-2</v>
      </c>
      <c r="N127">
        <f>VLOOKUP(A127,[1]dataset_2!B:H,5,FALSE)</f>
        <v>2</v>
      </c>
      <c r="O127">
        <f>VLOOKUP(A127,[1]dataset_2!B:H,6,FALSE)</f>
        <v>57</v>
      </c>
      <c r="P127">
        <f>VLOOKUP(A127,[1]dataset_2!B:H,7,FALSE)</f>
        <v>59</v>
      </c>
      <c r="Q127" t="str">
        <f t="shared" si="3"/>
        <v>Weekday</v>
      </c>
      <c r="R127" t="str">
        <f t="shared" si="4"/>
        <v>Morning</v>
      </c>
      <c r="S127" t="str">
        <f t="shared" si="5"/>
        <v>Low</v>
      </c>
    </row>
    <row r="128" spans="1:19">
      <c r="A128" s="14">
        <v>127</v>
      </c>
      <c r="B128" s="15">
        <v>40549</v>
      </c>
      <c r="C128" s="14">
        <v>1</v>
      </c>
      <c r="D128" s="14">
        <v>0</v>
      </c>
      <c r="E128" s="14">
        <v>1</v>
      </c>
      <c r="F128" s="14">
        <v>12</v>
      </c>
      <c r="G128" s="14" t="b">
        <v>0</v>
      </c>
      <c r="H128" s="14">
        <v>4</v>
      </c>
      <c r="I128" s="14">
        <v>1</v>
      </c>
      <c r="J128" s="14">
        <v>0.26</v>
      </c>
      <c r="K128">
        <f>VLOOKUP(A128,[1]dataset_2!B:H,2,FALSE)</f>
        <v>0.28789999999999999</v>
      </c>
      <c r="L128">
        <f>VLOOKUP(A128,[1]dataset_2!B:H,3,FALSE)</f>
        <v>0.35</v>
      </c>
      <c r="M128">
        <f>VLOOKUP(A128,[1]dataset_2!B:H,4,FALSE)</f>
        <v>0</v>
      </c>
      <c r="N128">
        <f>VLOOKUP(A128,[1]dataset_2!B:H,5,FALSE)</f>
        <v>6</v>
      </c>
      <c r="O128">
        <f>VLOOKUP(A128,[1]dataset_2!B:H,6,FALSE)</f>
        <v>78</v>
      </c>
      <c r="P128">
        <f>VLOOKUP(A128,[1]dataset_2!B:H,7,FALSE)</f>
        <v>84</v>
      </c>
      <c r="Q128" t="str">
        <f t="shared" si="3"/>
        <v>Weekday</v>
      </c>
      <c r="R128" t="str">
        <f t="shared" si="4"/>
        <v>Afternoon</v>
      </c>
      <c r="S128" t="str">
        <f t="shared" si="5"/>
        <v>Low</v>
      </c>
    </row>
    <row r="129" spans="1:19">
      <c r="A129" s="14">
        <v>128</v>
      </c>
      <c r="B129" s="15">
        <v>40549</v>
      </c>
      <c r="C129" s="14">
        <v>1</v>
      </c>
      <c r="D129" s="14">
        <v>0</v>
      </c>
      <c r="E129" s="14">
        <v>1</v>
      </c>
      <c r="F129" s="14">
        <v>13</v>
      </c>
      <c r="G129" s="14" t="b">
        <v>0</v>
      </c>
      <c r="H129" s="14">
        <v>4</v>
      </c>
      <c r="I129" s="14">
        <v>1</v>
      </c>
      <c r="J129" s="14">
        <v>0.26</v>
      </c>
      <c r="K129">
        <f>VLOOKUP(A129,[1]dataset_2!B:H,2,FALSE)</f>
        <v>0.2727</v>
      </c>
      <c r="L129">
        <f>VLOOKUP(A129,[1]dataset_2!B:H,3,FALSE)</f>
        <v>0.35</v>
      </c>
      <c r="M129">
        <f>VLOOKUP(A129,[1]dataset_2!B:H,4,FALSE)</f>
        <v>0.1045</v>
      </c>
      <c r="N129">
        <f>VLOOKUP(A129,[1]dataset_2!B:H,5,FALSE)</f>
        <v>12</v>
      </c>
      <c r="O129">
        <f>VLOOKUP(A129,[1]dataset_2!B:H,6,FALSE)</f>
        <v>55</v>
      </c>
      <c r="P129">
        <f>VLOOKUP(A129,[1]dataset_2!B:H,7,FALSE)</f>
        <v>67</v>
      </c>
      <c r="Q129" t="str">
        <f t="shared" si="3"/>
        <v>Weekday</v>
      </c>
      <c r="R129" t="str">
        <f t="shared" si="4"/>
        <v>Afternoon</v>
      </c>
      <c r="S129" t="str">
        <f t="shared" si="5"/>
        <v>Low</v>
      </c>
    </row>
    <row r="130" spans="1:19">
      <c r="A130" s="14">
        <v>129</v>
      </c>
      <c r="B130" s="15">
        <v>40549</v>
      </c>
      <c r="C130" s="14">
        <v>1</v>
      </c>
      <c r="D130" s="14">
        <v>0</v>
      </c>
      <c r="E130" s="14">
        <v>1</v>
      </c>
      <c r="F130" s="14">
        <v>14</v>
      </c>
      <c r="G130" s="14" t="b">
        <v>0</v>
      </c>
      <c r="H130" s="14">
        <v>4</v>
      </c>
      <c r="I130" s="14">
        <v>1</v>
      </c>
      <c r="J130" s="14">
        <v>0.28000000000000003</v>
      </c>
      <c r="K130">
        <f>VLOOKUP(A130,[1]dataset_2!B:H,2,FALSE)</f>
        <v>0.2727</v>
      </c>
      <c r="L130">
        <f>VLOOKUP(A130,[1]dataset_2!B:H,3,FALSE)</f>
        <v>0.36</v>
      </c>
      <c r="M130">
        <f>VLOOKUP(A130,[1]dataset_2!B:H,4,FALSE)</f>
        <v>0.16420000000000001</v>
      </c>
      <c r="N130">
        <f>VLOOKUP(A130,[1]dataset_2!B:H,5,FALSE)</f>
        <v>11</v>
      </c>
      <c r="O130">
        <f>VLOOKUP(A130,[1]dataset_2!B:H,6,FALSE)</f>
        <v>59</v>
      </c>
      <c r="P130">
        <f>VLOOKUP(A130,[1]dataset_2!B:H,7,FALSE)</f>
        <v>70</v>
      </c>
      <c r="Q130" t="str">
        <f t="shared" si="3"/>
        <v>Weekday</v>
      </c>
      <c r="R130" t="str">
        <f t="shared" si="4"/>
        <v>Afternoon</v>
      </c>
      <c r="S130" t="str">
        <f t="shared" si="5"/>
        <v>Low</v>
      </c>
    </row>
    <row r="131" spans="1:19">
      <c r="A131" s="14">
        <v>130</v>
      </c>
      <c r="B131" s="15">
        <v>40549</v>
      </c>
      <c r="C131" s="14">
        <v>1</v>
      </c>
      <c r="D131" s="14">
        <v>0</v>
      </c>
      <c r="E131" s="14">
        <v>1</v>
      </c>
      <c r="F131" s="14">
        <v>15</v>
      </c>
      <c r="G131" s="14" t="b">
        <v>0</v>
      </c>
      <c r="H131" s="14">
        <v>4</v>
      </c>
      <c r="I131" s="14">
        <v>1</v>
      </c>
      <c r="J131" s="14">
        <v>0.28000000000000003</v>
      </c>
      <c r="K131">
        <f>VLOOKUP(A131,[1]dataset_2!B:H,2,FALSE)</f>
        <v>0.2727</v>
      </c>
      <c r="L131">
        <f>VLOOKUP(A131,[1]dataset_2!B:H,3,FALSE)</f>
        <v>0.36</v>
      </c>
      <c r="M131">
        <f>VLOOKUP(A131,[1]dataset_2!B:H,4,FALSE)</f>
        <v>0</v>
      </c>
      <c r="N131">
        <f>VLOOKUP(A131,[1]dataset_2!B:H,5,FALSE)</f>
        <v>8</v>
      </c>
      <c r="O131">
        <f>VLOOKUP(A131,[1]dataset_2!B:H,6,FALSE)</f>
        <v>54</v>
      </c>
      <c r="P131">
        <f>VLOOKUP(A131,[1]dataset_2!B:H,7,FALSE)</f>
        <v>62</v>
      </c>
      <c r="Q131" t="str">
        <f t="shared" ref="Q131:Q194" si="6">IF(OR(H131=0,H131=6),"Weekend","Weekday")</f>
        <v>Weekday</v>
      </c>
      <c r="R131" t="str">
        <f t="shared" ref="R131:R194" si="7">IF(F131&lt;12,"Morning",IF(F131&lt;18,"Afternoon","Evening"))</f>
        <v>Afternoon</v>
      </c>
      <c r="S131" t="str">
        <f t="shared" ref="S131:S194" si="8">IF(P131&gt;100,"High","Low")</f>
        <v>Low</v>
      </c>
    </row>
    <row r="132" spans="1:19">
      <c r="A132" s="14">
        <v>131</v>
      </c>
      <c r="B132" s="15">
        <v>40549</v>
      </c>
      <c r="C132" s="14">
        <v>1</v>
      </c>
      <c r="D132" s="14">
        <v>0</v>
      </c>
      <c r="E132" s="14">
        <v>1</v>
      </c>
      <c r="F132" s="14">
        <v>16</v>
      </c>
      <c r="G132" s="14" t="b">
        <v>0</v>
      </c>
      <c r="H132" s="14">
        <v>4</v>
      </c>
      <c r="I132" s="14">
        <v>1</v>
      </c>
      <c r="J132" s="14">
        <v>0.26</v>
      </c>
      <c r="K132">
        <f>VLOOKUP(A132,[1]dataset_2!B:H,2,FALSE)</f>
        <v>0.2576</v>
      </c>
      <c r="L132">
        <f>VLOOKUP(A132,[1]dataset_2!B:H,3,FALSE)</f>
        <v>0.38</v>
      </c>
      <c r="M132">
        <f>VLOOKUP(A132,[1]dataset_2!B:H,4,FALSE)</f>
        <v>0.16420000000000001</v>
      </c>
      <c r="N132">
        <f>VLOOKUP(A132,[1]dataset_2!B:H,5,FALSE)</f>
        <v>12</v>
      </c>
      <c r="O132">
        <f>VLOOKUP(A132,[1]dataset_2!B:H,6,FALSE)</f>
        <v>74</v>
      </c>
      <c r="P132">
        <f>VLOOKUP(A132,[1]dataset_2!B:H,7,FALSE)</f>
        <v>86</v>
      </c>
      <c r="Q132" t="str">
        <f t="shared" si="6"/>
        <v>Weekday</v>
      </c>
      <c r="R132" t="str">
        <f t="shared" si="7"/>
        <v>Afternoon</v>
      </c>
      <c r="S132" t="str">
        <f t="shared" si="8"/>
        <v>Low</v>
      </c>
    </row>
    <row r="133" spans="1:19">
      <c r="A133" s="14">
        <v>132</v>
      </c>
      <c r="B133" s="15">
        <v>40549</v>
      </c>
      <c r="C133" s="14">
        <v>1</v>
      </c>
      <c r="D133" s="14">
        <v>0</v>
      </c>
      <c r="E133" s="14">
        <v>1</v>
      </c>
      <c r="F133" s="14">
        <v>17</v>
      </c>
      <c r="G133" s="14" t="b">
        <v>0</v>
      </c>
      <c r="H133" s="14">
        <v>4</v>
      </c>
      <c r="I133" s="14">
        <v>1</v>
      </c>
      <c r="J133" s="14">
        <v>0.22</v>
      </c>
      <c r="K133">
        <f>VLOOKUP(A133,[1]dataset_2!B:H,2,FALSE)</f>
        <v>0.2273</v>
      </c>
      <c r="L133">
        <f>VLOOKUP(A133,[1]dataset_2!B:H,3,FALSE)</f>
        <v>0.51</v>
      </c>
      <c r="M133">
        <f>VLOOKUP(A133,[1]dataset_2!B:H,4,FALSE)</f>
        <v>0.16420000000000001</v>
      </c>
      <c r="N133">
        <f>VLOOKUP(A133,[1]dataset_2!B:H,5,FALSE)</f>
        <v>9</v>
      </c>
      <c r="O133">
        <f>VLOOKUP(A133,[1]dataset_2!B:H,6,FALSE)</f>
        <v>163</v>
      </c>
      <c r="P133">
        <f>VLOOKUP(A133,[1]dataset_2!B:H,7,FALSE)</f>
        <v>172</v>
      </c>
      <c r="Q133" t="str">
        <f t="shared" si="6"/>
        <v>Weekday</v>
      </c>
      <c r="R133" t="str">
        <f t="shared" si="7"/>
        <v>Afternoon</v>
      </c>
      <c r="S133" t="str">
        <f t="shared" si="8"/>
        <v>High</v>
      </c>
    </row>
    <row r="134" spans="1:19">
      <c r="A134" s="14">
        <v>133</v>
      </c>
      <c r="B134" s="15">
        <v>40549</v>
      </c>
      <c r="C134" s="14">
        <v>1</v>
      </c>
      <c r="D134" s="14">
        <v>0</v>
      </c>
      <c r="E134" s="14">
        <v>1</v>
      </c>
      <c r="F134" s="14">
        <v>18</v>
      </c>
      <c r="G134" s="14" t="b">
        <v>0</v>
      </c>
      <c r="H134" s="14">
        <v>4</v>
      </c>
      <c r="I134" s="14">
        <v>1</v>
      </c>
      <c r="J134" s="14">
        <v>0.22</v>
      </c>
      <c r="K134">
        <f>VLOOKUP(A134,[1]dataset_2!B:H,2,FALSE)</f>
        <v>0.2273</v>
      </c>
      <c r="L134">
        <f>VLOOKUP(A134,[1]dataset_2!B:H,3,FALSE)</f>
        <v>0.51</v>
      </c>
      <c r="M134">
        <f>VLOOKUP(A134,[1]dataset_2!B:H,4,FALSE)</f>
        <v>0.1343</v>
      </c>
      <c r="N134">
        <f>VLOOKUP(A134,[1]dataset_2!B:H,5,FALSE)</f>
        <v>5</v>
      </c>
      <c r="O134">
        <f>VLOOKUP(A134,[1]dataset_2!B:H,6,FALSE)</f>
        <v>158</v>
      </c>
      <c r="P134">
        <f>VLOOKUP(A134,[1]dataset_2!B:H,7,FALSE)</f>
        <v>163</v>
      </c>
      <c r="Q134" t="str">
        <f t="shared" si="6"/>
        <v>Weekday</v>
      </c>
      <c r="R134" t="str">
        <f t="shared" si="7"/>
        <v>Evening</v>
      </c>
      <c r="S134" t="str">
        <f t="shared" si="8"/>
        <v>High</v>
      </c>
    </row>
    <row r="135" spans="1:19">
      <c r="A135" s="14">
        <v>134</v>
      </c>
      <c r="B135" s="15">
        <v>40549</v>
      </c>
      <c r="C135" s="14">
        <v>1</v>
      </c>
      <c r="D135" s="14">
        <v>0</v>
      </c>
      <c r="E135" s="14">
        <v>1</v>
      </c>
      <c r="F135" s="14">
        <v>19</v>
      </c>
      <c r="G135" s="14" t="b">
        <v>0</v>
      </c>
      <c r="H135" s="14">
        <v>4</v>
      </c>
      <c r="I135" s="14">
        <v>1</v>
      </c>
      <c r="J135" s="14">
        <v>0.22</v>
      </c>
      <c r="K135">
        <f>VLOOKUP(A135,[1]dataset_2!B:H,2,FALSE)</f>
        <v>0.2576</v>
      </c>
      <c r="L135">
        <f>VLOOKUP(A135,[1]dataset_2!B:H,3,FALSE)</f>
        <v>0.55000000000000004</v>
      </c>
      <c r="M135">
        <f>VLOOKUP(A135,[1]dataset_2!B:H,4,FALSE)</f>
        <v>8.9599999999999999E-2</v>
      </c>
      <c r="N135">
        <f>VLOOKUP(A135,[1]dataset_2!B:H,5,FALSE)</f>
        <v>3</v>
      </c>
      <c r="O135">
        <f>VLOOKUP(A135,[1]dataset_2!B:H,6,FALSE)</f>
        <v>109</v>
      </c>
      <c r="P135">
        <f>VLOOKUP(A135,[1]dataset_2!B:H,7,FALSE)</f>
        <v>112</v>
      </c>
      <c r="Q135" t="str">
        <f t="shared" si="6"/>
        <v>Weekday</v>
      </c>
      <c r="R135" t="str">
        <f t="shared" si="7"/>
        <v>Evening</v>
      </c>
      <c r="S135" t="str">
        <f t="shared" si="8"/>
        <v>High</v>
      </c>
    </row>
    <row r="136" spans="1:19">
      <c r="A136" s="14">
        <v>135</v>
      </c>
      <c r="B136" s="15">
        <v>40549</v>
      </c>
      <c r="C136" s="14">
        <v>1</v>
      </c>
      <c r="D136" s="14">
        <v>0</v>
      </c>
      <c r="E136" s="14">
        <v>1</v>
      </c>
      <c r="F136" s="14">
        <v>20</v>
      </c>
      <c r="G136" s="14" t="b">
        <v>0</v>
      </c>
      <c r="H136" s="14">
        <v>4</v>
      </c>
      <c r="I136" s="14">
        <v>1</v>
      </c>
      <c r="J136" s="14">
        <v>0.2</v>
      </c>
      <c r="K136">
        <f>VLOOKUP(A136,[1]dataset_2!B:H,2,FALSE)</f>
        <v>0.21210000000000001</v>
      </c>
      <c r="L136">
        <f>VLOOKUP(A136,[1]dataset_2!B:H,3,FALSE)</f>
        <v>0.51</v>
      </c>
      <c r="M136">
        <f>VLOOKUP(A136,[1]dataset_2!B:H,4,FALSE)</f>
        <v>0.16420000000000001</v>
      </c>
      <c r="N136">
        <f>VLOOKUP(A136,[1]dataset_2!B:H,5,FALSE)</f>
        <v>3</v>
      </c>
      <c r="O136">
        <f>VLOOKUP(A136,[1]dataset_2!B:H,6,FALSE)</f>
        <v>66</v>
      </c>
      <c r="P136">
        <f>VLOOKUP(A136,[1]dataset_2!B:H,7,FALSE)</f>
        <v>69</v>
      </c>
      <c r="Q136" t="str">
        <f t="shared" si="6"/>
        <v>Weekday</v>
      </c>
      <c r="R136" t="str">
        <f t="shared" si="7"/>
        <v>Evening</v>
      </c>
      <c r="S136" t="str">
        <f t="shared" si="8"/>
        <v>Low</v>
      </c>
    </row>
    <row r="137" spans="1:19">
      <c r="A137" s="14">
        <v>136</v>
      </c>
      <c r="B137" s="15">
        <v>40549</v>
      </c>
      <c r="C137" s="14">
        <v>1</v>
      </c>
      <c r="D137" s="14">
        <v>0</v>
      </c>
      <c r="E137" s="14">
        <v>1</v>
      </c>
      <c r="F137" s="14">
        <v>21</v>
      </c>
      <c r="G137" s="14" t="b">
        <v>0</v>
      </c>
      <c r="H137" s="14">
        <v>4</v>
      </c>
      <c r="I137" s="14">
        <v>2</v>
      </c>
      <c r="J137" s="14">
        <v>0.22</v>
      </c>
      <c r="K137">
        <f>VLOOKUP(A137,[1]dataset_2!B:H,2,FALSE)</f>
        <v>0.21210000000000001</v>
      </c>
      <c r="L137">
        <f>VLOOKUP(A137,[1]dataset_2!B:H,3,FALSE)</f>
        <v>0.55000000000000004</v>
      </c>
      <c r="M137">
        <f>VLOOKUP(A137,[1]dataset_2!B:H,4,FALSE)</f>
        <v>0.22389999999999999</v>
      </c>
      <c r="N137">
        <f>VLOOKUP(A137,[1]dataset_2!B:H,5,FALSE)</f>
        <v>0</v>
      </c>
      <c r="O137">
        <f>VLOOKUP(A137,[1]dataset_2!B:H,6,FALSE)</f>
        <v>48</v>
      </c>
      <c r="P137">
        <f>VLOOKUP(A137,[1]dataset_2!B:H,7,FALSE)</f>
        <v>48</v>
      </c>
      <c r="Q137" t="str">
        <f t="shared" si="6"/>
        <v>Weekday</v>
      </c>
      <c r="R137" t="str">
        <f t="shared" si="7"/>
        <v>Evening</v>
      </c>
      <c r="S137" t="str">
        <f t="shared" si="8"/>
        <v>Low</v>
      </c>
    </row>
    <row r="138" spans="1:19">
      <c r="A138" s="14">
        <v>137</v>
      </c>
      <c r="B138" s="15">
        <v>40549</v>
      </c>
      <c r="C138" s="14">
        <v>1</v>
      </c>
      <c r="D138" s="14">
        <v>0</v>
      </c>
      <c r="E138" s="14">
        <v>1</v>
      </c>
      <c r="F138" s="14">
        <v>22</v>
      </c>
      <c r="G138" s="14" t="b">
        <v>0</v>
      </c>
      <c r="H138" s="14">
        <v>4</v>
      </c>
      <c r="I138" s="14">
        <v>2</v>
      </c>
      <c r="J138" s="14">
        <v>0.22</v>
      </c>
      <c r="K138">
        <f>VLOOKUP(A138,[1]dataset_2!B:H,2,FALSE)</f>
        <v>0.21210000000000001</v>
      </c>
      <c r="L138">
        <f>VLOOKUP(A138,[1]dataset_2!B:H,3,FALSE)</f>
        <v>0.51</v>
      </c>
      <c r="M138">
        <f>VLOOKUP(A138,[1]dataset_2!B:H,4,FALSE)</f>
        <v>0.28360000000000002</v>
      </c>
      <c r="N138">
        <f>VLOOKUP(A138,[1]dataset_2!B:H,5,FALSE)</f>
        <v>1</v>
      </c>
      <c r="O138">
        <f>VLOOKUP(A138,[1]dataset_2!B:H,6,FALSE)</f>
        <v>51</v>
      </c>
      <c r="P138">
        <f>VLOOKUP(A138,[1]dataset_2!B:H,7,FALSE)</f>
        <v>52</v>
      </c>
      <c r="Q138" t="str">
        <f t="shared" si="6"/>
        <v>Weekday</v>
      </c>
      <c r="R138" t="str">
        <f t="shared" si="7"/>
        <v>Evening</v>
      </c>
      <c r="S138" t="str">
        <f t="shared" si="8"/>
        <v>Low</v>
      </c>
    </row>
    <row r="139" spans="1:19">
      <c r="A139" s="14">
        <v>138</v>
      </c>
      <c r="B139" s="15">
        <v>40549</v>
      </c>
      <c r="C139" s="14">
        <v>1</v>
      </c>
      <c r="D139" s="14">
        <v>0</v>
      </c>
      <c r="E139" s="14">
        <v>1</v>
      </c>
      <c r="F139" s="14">
        <v>23</v>
      </c>
      <c r="G139" s="14" t="b">
        <v>0</v>
      </c>
      <c r="H139" s="14">
        <v>4</v>
      </c>
      <c r="I139" s="14">
        <v>2</v>
      </c>
      <c r="J139" s="14">
        <v>0.2</v>
      </c>
      <c r="K139">
        <f>VLOOKUP(A139,[1]dataset_2!B:H,2,FALSE)</f>
        <v>0.19700000000000001</v>
      </c>
      <c r="L139">
        <f>VLOOKUP(A139,[1]dataset_2!B:H,3,FALSE)</f>
        <v>0.59</v>
      </c>
      <c r="M139">
        <f>VLOOKUP(A139,[1]dataset_2!B:H,4,FALSE)</f>
        <v>0.19400000000000001</v>
      </c>
      <c r="N139">
        <f>VLOOKUP(A139,[1]dataset_2!B:H,5,FALSE)</f>
        <v>4</v>
      </c>
      <c r="O139">
        <f>VLOOKUP(A139,[1]dataset_2!B:H,6,FALSE)</f>
        <v>19</v>
      </c>
      <c r="P139">
        <f>VLOOKUP(A139,[1]dataset_2!B:H,7,FALSE)</f>
        <v>23</v>
      </c>
      <c r="Q139" t="str">
        <f t="shared" si="6"/>
        <v>Weekday</v>
      </c>
      <c r="R139" t="str">
        <f t="shared" si="7"/>
        <v>Evening</v>
      </c>
      <c r="S139" t="str">
        <f t="shared" si="8"/>
        <v>Low</v>
      </c>
    </row>
    <row r="140" spans="1:19">
      <c r="A140" s="14">
        <v>139</v>
      </c>
      <c r="B140" s="15">
        <v>40550</v>
      </c>
      <c r="C140" s="14">
        <v>1</v>
      </c>
      <c r="D140" s="14">
        <v>0</v>
      </c>
      <c r="E140" s="14">
        <v>1</v>
      </c>
      <c r="F140" s="14">
        <v>0</v>
      </c>
      <c r="G140" s="14" t="b">
        <v>0</v>
      </c>
      <c r="H140" s="14">
        <v>5</v>
      </c>
      <c r="I140" s="14">
        <v>2</v>
      </c>
      <c r="J140" s="14">
        <v>0.2</v>
      </c>
      <c r="K140">
        <f>VLOOKUP(A140,[1]dataset_2!B:H,2,FALSE)</f>
        <v>0.19700000000000001</v>
      </c>
      <c r="L140">
        <f>VLOOKUP(A140,[1]dataset_2!B:H,3,FALSE)</f>
        <v>0.64</v>
      </c>
      <c r="M140">
        <f>VLOOKUP(A140,[1]dataset_2!B:H,4,FALSE)</f>
        <v>0.19400000000000001</v>
      </c>
      <c r="N140">
        <f>VLOOKUP(A140,[1]dataset_2!B:H,5,FALSE)</f>
        <v>4</v>
      </c>
      <c r="O140">
        <f>VLOOKUP(A140,[1]dataset_2!B:H,6,FALSE)</f>
        <v>13</v>
      </c>
      <c r="P140">
        <f>VLOOKUP(A140,[1]dataset_2!B:H,7,FALSE)</f>
        <v>17</v>
      </c>
      <c r="Q140" t="str">
        <f t="shared" si="6"/>
        <v>Weekday</v>
      </c>
      <c r="R140" t="str">
        <f t="shared" si="7"/>
        <v>Morning</v>
      </c>
      <c r="S140" t="str">
        <f t="shared" si="8"/>
        <v>Low</v>
      </c>
    </row>
    <row r="141" spans="1:19">
      <c r="A141" s="14">
        <v>140</v>
      </c>
      <c r="B141" s="15">
        <v>40550</v>
      </c>
      <c r="C141" s="14">
        <v>1</v>
      </c>
      <c r="D141" s="14">
        <v>0</v>
      </c>
      <c r="E141" s="14">
        <v>1</v>
      </c>
      <c r="F141" s="14">
        <v>1</v>
      </c>
      <c r="G141" s="14" t="b">
        <v>0</v>
      </c>
      <c r="H141" s="14">
        <v>5</v>
      </c>
      <c r="I141" s="14">
        <v>2</v>
      </c>
      <c r="J141" s="14">
        <v>0.2</v>
      </c>
      <c r="K141">
        <f>VLOOKUP(A141,[1]dataset_2!B:H,2,FALSE)</f>
        <v>0.19700000000000001</v>
      </c>
      <c r="L141">
        <f>VLOOKUP(A141,[1]dataset_2!B:H,3,FALSE)</f>
        <v>0.69</v>
      </c>
      <c r="M141">
        <f>VLOOKUP(A141,[1]dataset_2!B:H,4,FALSE)</f>
        <v>0.22389999999999999</v>
      </c>
      <c r="N141">
        <f>VLOOKUP(A141,[1]dataset_2!B:H,5,FALSE)</f>
        <v>2</v>
      </c>
      <c r="O141">
        <f>VLOOKUP(A141,[1]dataset_2!B:H,6,FALSE)</f>
        <v>5</v>
      </c>
      <c r="P141">
        <f>VLOOKUP(A141,[1]dataset_2!B:H,7,FALSE)</f>
        <v>7</v>
      </c>
      <c r="Q141" t="str">
        <f t="shared" si="6"/>
        <v>Weekday</v>
      </c>
      <c r="R141" t="str">
        <f t="shared" si="7"/>
        <v>Morning</v>
      </c>
      <c r="S141" t="str">
        <f t="shared" si="8"/>
        <v>Low</v>
      </c>
    </row>
    <row r="142" spans="1:19">
      <c r="A142" s="14">
        <v>141</v>
      </c>
      <c r="B142" s="15">
        <v>40550</v>
      </c>
      <c r="C142" s="14">
        <v>1</v>
      </c>
      <c r="D142" s="14">
        <v>0</v>
      </c>
      <c r="E142" s="14">
        <v>1</v>
      </c>
      <c r="F142" s="14">
        <v>2</v>
      </c>
      <c r="G142" s="14" t="b">
        <v>0</v>
      </c>
      <c r="H142" s="14">
        <v>5</v>
      </c>
      <c r="I142" s="14">
        <v>2</v>
      </c>
      <c r="J142" s="14">
        <v>0.2</v>
      </c>
      <c r="K142">
        <f>VLOOKUP(A142,[1]dataset_2!B:H,2,FALSE)</f>
        <v>0.19700000000000001</v>
      </c>
      <c r="L142">
        <f>VLOOKUP(A142,[1]dataset_2!B:H,3,FALSE)</f>
        <v>0.69</v>
      </c>
      <c r="M142">
        <f>VLOOKUP(A142,[1]dataset_2!B:H,4,FALSE)</f>
        <v>0.22389999999999999</v>
      </c>
      <c r="N142">
        <f>VLOOKUP(A142,[1]dataset_2!B:H,5,FALSE)</f>
        <v>0</v>
      </c>
      <c r="O142">
        <f>VLOOKUP(A142,[1]dataset_2!B:H,6,FALSE)</f>
        <v>1</v>
      </c>
      <c r="P142">
        <f>VLOOKUP(A142,[1]dataset_2!B:H,7,FALSE)</f>
        <v>1</v>
      </c>
      <c r="Q142" t="str">
        <f t="shared" si="6"/>
        <v>Weekday</v>
      </c>
      <c r="R142" t="str">
        <f t="shared" si="7"/>
        <v>Morning</v>
      </c>
      <c r="S142" t="str">
        <f t="shared" si="8"/>
        <v>Low</v>
      </c>
    </row>
    <row r="143" spans="1:19">
      <c r="A143" s="14">
        <v>142</v>
      </c>
      <c r="B143" s="15">
        <v>40550</v>
      </c>
      <c r="C143" s="14">
        <v>1</v>
      </c>
      <c r="D143" s="14">
        <v>0</v>
      </c>
      <c r="E143" s="14">
        <v>1</v>
      </c>
      <c r="F143" s="14">
        <v>4</v>
      </c>
      <c r="G143" s="14" t="b">
        <v>0</v>
      </c>
      <c r="H143" s="14">
        <v>5</v>
      </c>
      <c r="I143" s="14">
        <v>2</v>
      </c>
      <c r="J143" s="14">
        <v>0.2</v>
      </c>
      <c r="K143">
        <f>VLOOKUP(A143,[1]dataset_2!B:H,2,FALSE)</f>
        <v>0.21210000000000001</v>
      </c>
      <c r="L143">
        <f>VLOOKUP(A143,[1]dataset_2!B:H,3,FALSE)</f>
        <v>0.69</v>
      </c>
      <c r="M143">
        <f>VLOOKUP(A143,[1]dataset_2!B:H,4,FALSE)</f>
        <v>0.1343</v>
      </c>
      <c r="N143">
        <f>VLOOKUP(A143,[1]dataset_2!B:H,5,FALSE)</f>
        <v>0</v>
      </c>
      <c r="O143">
        <f>VLOOKUP(A143,[1]dataset_2!B:H,6,FALSE)</f>
        <v>1</v>
      </c>
      <c r="P143">
        <f>VLOOKUP(A143,[1]dataset_2!B:H,7,FALSE)</f>
        <v>1</v>
      </c>
      <c r="Q143" t="str">
        <f t="shared" si="6"/>
        <v>Weekday</v>
      </c>
      <c r="R143" t="str">
        <f t="shared" si="7"/>
        <v>Morning</v>
      </c>
      <c r="S143" t="str">
        <f t="shared" si="8"/>
        <v>Low</v>
      </c>
    </row>
    <row r="144" spans="1:19">
      <c r="A144" s="14">
        <v>143</v>
      </c>
      <c r="B144" s="15">
        <v>40550</v>
      </c>
      <c r="C144" s="14">
        <v>1</v>
      </c>
      <c r="D144" s="14">
        <v>0</v>
      </c>
      <c r="E144" s="14">
        <v>1</v>
      </c>
      <c r="F144" s="14">
        <v>5</v>
      </c>
      <c r="G144" s="14" t="b">
        <v>0</v>
      </c>
      <c r="H144" s="14">
        <v>5</v>
      </c>
      <c r="I144" s="14">
        <v>3</v>
      </c>
      <c r="J144" s="14">
        <v>0.22</v>
      </c>
      <c r="K144">
        <f>VLOOKUP(A144,[1]dataset_2!B:H,2,FALSE)</f>
        <v>0.2727</v>
      </c>
      <c r="L144">
        <f>VLOOKUP(A144,[1]dataset_2!B:H,3,FALSE)</f>
        <v>0.55000000000000004</v>
      </c>
      <c r="M144">
        <f>VLOOKUP(A144,[1]dataset_2!B:H,4,FALSE)</f>
        <v>0</v>
      </c>
      <c r="N144">
        <f>VLOOKUP(A144,[1]dataset_2!B:H,5,FALSE)</f>
        <v>0</v>
      </c>
      <c r="O144">
        <f>VLOOKUP(A144,[1]dataset_2!B:H,6,FALSE)</f>
        <v>5</v>
      </c>
      <c r="P144">
        <f>VLOOKUP(A144,[1]dataset_2!B:H,7,FALSE)</f>
        <v>5</v>
      </c>
      <c r="Q144" t="str">
        <f t="shared" si="6"/>
        <v>Weekday</v>
      </c>
      <c r="R144" t="str">
        <f t="shared" si="7"/>
        <v>Morning</v>
      </c>
      <c r="S144" t="str">
        <f t="shared" si="8"/>
        <v>Low</v>
      </c>
    </row>
    <row r="145" spans="1:19">
      <c r="A145" s="14">
        <v>144</v>
      </c>
      <c r="B145" s="15">
        <v>40550</v>
      </c>
      <c r="C145" s="14">
        <v>1</v>
      </c>
      <c r="D145" s="14">
        <v>0</v>
      </c>
      <c r="E145" s="14">
        <v>1</v>
      </c>
      <c r="F145" s="14">
        <v>6</v>
      </c>
      <c r="G145" s="14" t="b">
        <v>0</v>
      </c>
      <c r="H145" s="14">
        <v>5</v>
      </c>
      <c r="I145" s="14">
        <v>2</v>
      </c>
      <c r="J145" s="14">
        <v>0.2</v>
      </c>
      <c r="K145">
        <f>VLOOKUP(A145,[1]dataset_2!B:H,2,FALSE)</f>
        <v>0.2576</v>
      </c>
      <c r="L145">
        <f>VLOOKUP(A145,[1]dataset_2!B:H,3,FALSE)</f>
        <v>0.69</v>
      </c>
      <c r="M145">
        <f>VLOOKUP(A145,[1]dataset_2!B:H,4,FALSE)</f>
        <v>0</v>
      </c>
      <c r="N145">
        <f>VLOOKUP(A145,[1]dataset_2!B:H,5,FALSE)</f>
        <v>8</v>
      </c>
      <c r="O145">
        <f>VLOOKUP(A145,[1]dataset_2!B:H,6,FALSE)</f>
        <v>26</v>
      </c>
      <c r="P145">
        <f>VLOOKUP(A145,[1]dataset_2!B:H,7,FALSE)</f>
        <v>34</v>
      </c>
      <c r="Q145" t="str">
        <f t="shared" si="6"/>
        <v>Weekday</v>
      </c>
      <c r="R145" t="str">
        <f t="shared" si="7"/>
        <v>Morning</v>
      </c>
      <c r="S145" t="str">
        <f t="shared" si="8"/>
        <v>Low</v>
      </c>
    </row>
    <row r="146" spans="1:19">
      <c r="A146" s="14">
        <v>145</v>
      </c>
      <c r="B146" s="15">
        <v>40550</v>
      </c>
      <c r="C146" s="14">
        <v>1</v>
      </c>
      <c r="D146" s="14">
        <v>0</v>
      </c>
      <c r="E146" s="14">
        <v>1</v>
      </c>
      <c r="F146" s="14">
        <v>7</v>
      </c>
      <c r="G146" s="14" t="b">
        <v>0</v>
      </c>
      <c r="H146" s="14">
        <v>5</v>
      </c>
      <c r="I146" s="14">
        <v>1</v>
      </c>
      <c r="J146" s="14">
        <v>0.2</v>
      </c>
      <c r="K146">
        <f>VLOOKUP(A146,[1]dataset_2!B:H,2,FALSE)</f>
        <v>0.21210000000000001</v>
      </c>
      <c r="L146">
        <f>VLOOKUP(A146,[1]dataset_2!B:H,3,FALSE)</f>
        <v>0.69</v>
      </c>
      <c r="M146">
        <f>VLOOKUP(A146,[1]dataset_2!B:H,4,FALSE)</f>
        <v>0.1343</v>
      </c>
      <c r="N146">
        <f>VLOOKUP(A146,[1]dataset_2!B:H,5,FALSE)</f>
        <v>8</v>
      </c>
      <c r="O146">
        <f>VLOOKUP(A146,[1]dataset_2!B:H,6,FALSE)</f>
        <v>76</v>
      </c>
      <c r="P146">
        <f>VLOOKUP(A146,[1]dataset_2!B:H,7,FALSE)</f>
        <v>84</v>
      </c>
      <c r="Q146" t="str">
        <f t="shared" si="6"/>
        <v>Weekday</v>
      </c>
      <c r="R146" t="str">
        <f t="shared" si="7"/>
        <v>Morning</v>
      </c>
      <c r="S146" t="str">
        <f t="shared" si="8"/>
        <v>Low</v>
      </c>
    </row>
    <row r="147" spans="1:19">
      <c r="A147" s="14">
        <v>146</v>
      </c>
      <c r="B147" s="15">
        <v>40550</v>
      </c>
      <c r="C147" s="14">
        <v>1</v>
      </c>
      <c r="D147" s="14">
        <v>0</v>
      </c>
      <c r="E147" s="14">
        <v>1</v>
      </c>
      <c r="F147" s="14">
        <v>8</v>
      </c>
      <c r="G147" s="14" t="b">
        <v>0</v>
      </c>
      <c r="H147" s="14">
        <v>5</v>
      </c>
      <c r="I147" s="14">
        <v>1</v>
      </c>
      <c r="J147" s="14">
        <v>0.2</v>
      </c>
      <c r="K147">
        <f>VLOOKUP(A147,[1]dataset_2!B:H,2,FALSE)</f>
        <v>0.19700000000000001</v>
      </c>
      <c r="L147">
        <f>VLOOKUP(A147,[1]dataset_2!B:H,3,FALSE)</f>
        <v>0.51</v>
      </c>
      <c r="M147">
        <f>VLOOKUP(A147,[1]dataset_2!B:H,4,FALSE)</f>
        <v>0.25369999999999998</v>
      </c>
      <c r="N147">
        <f>VLOOKUP(A147,[1]dataset_2!B:H,5,FALSE)</f>
        <v>20</v>
      </c>
      <c r="O147">
        <f>VLOOKUP(A147,[1]dataset_2!B:H,6,FALSE)</f>
        <v>190</v>
      </c>
      <c r="P147">
        <f>VLOOKUP(A147,[1]dataset_2!B:H,7,FALSE)</f>
        <v>210</v>
      </c>
      <c r="Q147" t="str">
        <f t="shared" si="6"/>
        <v>Weekday</v>
      </c>
      <c r="R147" t="str">
        <f t="shared" si="7"/>
        <v>Morning</v>
      </c>
      <c r="S147" t="str">
        <f t="shared" si="8"/>
        <v>High</v>
      </c>
    </row>
    <row r="148" spans="1:19">
      <c r="A148" s="14">
        <v>147</v>
      </c>
      <c r="B148" s="15">
        <v>40550</v>
      </c>
      <c r="C148" s="14">
        <v>1</v>
      </c>
      <c r="D148" s="14">
        <v>0</v>
      </c>
      <c r="E148" s="14">
        <v>1</v>
      </c>
      <c r="F148" s="14">
        <v>9</v>
      </c>
      <c r="G148" s="14" t="b">
        <v>0</v>
      </c>
      <c r="H148" s="14">
        <v>5</v>
      </c>
      <c r="I148" s="14">
        <v>1</v>
      </c>
      <c r="J148" s="14">
        <v>0.2</v>
      </c>
      <c r="K148">
        <f>VLOOKUP(A148,[1]dataset_2!B:H,2,FALSE)</f>
        <v>0.18179999999999999</v>
      </c>
      <c r="L148">
        <f>VLOOKUP(A148,[1]dataset_2!B:H,3,FALSE)</f>
        <v>0.47</v>
      </c>
      <c r="M148">
        <f>VLOOKUP(A148,[1]dataset_2!B:H,4,FALSE)</f>
        <v>0.29849999999999999</v>
      </c>
      <c r="N148">
        <f>VLOOKUP(A148,[1]dataset_2!B:H,5,FALSE)</f>
        <v>9</v>
      </c>
      <c r="O148">
        <f>VLOOKUP(A148,[1]dataset_2!B:H,6,FALSE)</f>
        <v>125</v>
      </c>
      <c r="P148">
        <f>VLOOKUP(A148,[1]dataset_2!B:H,7,FALSE)</f>
        <v>134</v>
      </c>
      <c r="Q148" t="str">
        <f t="shared" si="6"/>
        <v>Weekday</v>
      </c>
      <c r="R148" t="str">
        <f t="shared" si="7"/>
        <v>Morning</v>
      </c>
      <c r="S148" t="str">
        <f t="shared" si="8"/>
        <v>High</v>
      </c>
    </row>
    <row r="149" spans="1:19">
      <c r="A149" s="14">
        <v>148</v>
      </c>
      <c r="B149" s="15">
        <v>40550</v>
      </c>
      <c r="C149" s="14">
        <v>1</v>
      </c>
      <c r="D149" s="14">
        <v>0</v>
      </c>
      <c r="E149" s="14">
        <v>1</v>
      </c>
      <c r="F149" s="14">
        <v>10</v>
      </c>
      <c r="G149" s="14" t="b">
        <v>0</v>
      </c>
      <c r="H149" s="14">
        <v>5</v>
      </c>
      <c r="I149" s="14">
        <v>1</v>
      </c>
      <c r="J149" s="14">
        <v>0.22</v>
      </c>
      <c r="K149">
        <f>VLOOKUP(A149,[1]dataset_2!B:H,2,FALSE)</f>
        <v>0.19700000000000001</v>
      </c>
      <c r="L149">
        <f>VLOOKUP(A149,[1]dataset_2!B:H,3,FALSE)</f>
        <v>0.37</v>
      </c>
      <c r="M149">
        <f>VLOOKUP(A149,[1]dataset_2!B:H,4,FALSE)</f>
        <v>0.32840000000000003</v>
      </c>
      <c r="N149">
        <f>VLOOKUP(A149,[1]dataset_2!B:H,5,FALSE)</f>
        <v>16</v>
      </c>
      <c r="O149">
        <f>VLOOKUP(A149,[1]dataset_2!B:H,6,FALSE)</f>
        <v>47</v>
      </c>
      <c r="P149">
        <f>VLOOKUP(A149,[1]dataset_2!B:H,7,FALSE)</f>
        <v>63</v>
      </c>
      <c r="Q149" t="str">
        <f t="shared" si="6"/>
        <v>Weekday</v>
      </c>
      <c r="R149" t="str">
        <f t="shared" si="7"/>
        <v>Morning</v>
      </c>
      <c r="S149" t="str">
        <f t="shared" si="8"/>
        <v>Low</v>
      </c>
    </row>
    <row r="150" spans="1:19">
      <c r="A150" s="14">
        <v>149</v>
      </c>
      <c r="B150" s="15">
        <v>40550</v>
      </c>
      <c r="C150" s="14">
        <v>1</v>
      </c>
      <c r="D150" s="14">
        <v>0</v>
      </c>
      <c r="E150" s="14">
        <v>1</v>
      </c>
      <c r="F150" s="14">
        <v>11</v>
      </c>
      <c r="G150" s="14" t="b">
        <v>0</v>
      </c>
      <c r="H150" s="14">
        <v>5</v>
      </c>
      <c r="I150" s="14">
        <v>2</v>
      </c>
      <c r="J150" s="14">
        <v>0.2</v>
      </c>
      <c r="K150">
        <f>VLOOKUP(A150,[1]dataset_2!B:H,2,FALSE)</f>
        <v>0.19700000000000001</v>
      </c>
      <c r="L150">
        <f>VLOOKUP(A150,[1]dataset_2!B:H,3,FALSE)</f>
        <v>0.4</v>
      </c>
      <c r="M150">
        <f>VLOOKUP(A150,[1]dataset_2!B:H,4,FALSE)</f>
        <v>0.22389999999999999</v>
      </c>
      <c r="N150">
        <f>VLOOKUP(A150,[1]dataset_2!B:H,5,FALSE)</f>
        <v>19</v>
      </c>
      <c r="O150">
        <f>VLOOKUP(A150,[1]dataset_2!B:H,6,FALSE)</f>
        <v>48</v>
      </c>
      <c r="P150">
        <f>VLOOKUP(A150,[1]dataset_2!B:H,7,FALSE)</f>
        <v>67</v>
      </c>
      <c r="Q150" t="str">
        <f t="shared" si="6"/>
        <v>Weekday</v>
      </c>
      <c r="R150" t="str">
        <f t="shared" si="7"/>
        <v>Morning</v>
      </c>
      <c r="S150" t="str">
        <f t="shared" si="8"/>
        <v>Low</v>
      </c>
    </row>
    <row r="151" spans="1:19">
      <c r="A151" s="14">
        <v>150</v>
      </c>
      <c r="B151" s="15">
        <v>40550</v>
      </c>
      <c r="C151" s="14">
        <v>1</v>
      </c>
      <c r="D151" s="14">
        <v>0</v>
      </c>
      <c r="E151" s="14">
        <v>1</v>
      </c>
      <c r="F151" s="14">
        <v>12</v>
      </c>
      <c r="G151" s="14" t="b">
        <v>0</v>
      </c>
      <c r="H151" s="14">
        <v>5</v>
      </c>
      <c r="I151" s="14">
        <v>2</v>
      </c>
      <c r="J151" s="14">
        <v>0.2</v>
      </c>
      <c r="K151">
        <f>VLOOKUP(A151,[1]dataset_2!B:H,2,FALSE)</f>
        <v>0.19700000000000001</v>
      </c>
      <c r="L151">
        <f>VLOOKUP(A151,[1]dataset_2!B:H,3,FALSE)</f>
        <v>0.37</v>
      </c>
      <c r="M151">
        <f>VLOOKUP(A151,[1]dataset_2!B:H,4,FALSE)</f>
        <v>0.25369999999999998</v>
      </c>
      <c r="N151">
        <f>VLOOKUP(A151,[1]dataset_2!B:H,5,FALSE)</f>
        <v>9</v>
      </c>
      <c r="O151">
        <f>VLOOKUP(A151,[1]dataset_2!B:H,6,FALSE)</f>
        <v>50</v>
      </c>
      <c r="P151">
        <f>VLOOKUP(A151,[1]dataset_2!B:H,7,FALSE)</f>
        <v>59</v>
      </c>
      <c r="Q151" t="str">
        <f t="shared" si="6"/>
        <v>Weekday</v>
      </c>
      <c r="R151" t="str">
        <f t="shared" si="7"/>
        <v>Afternoon</v>
      </c>
      <c r="S151" t="str">
        <f t="shared" si="8"/>
        <v>Low</v>
      </c>
    </row>
    <row r="152" spans="1:19">
      <c r="A152" s="14">
        <v>151</v>
      </c>
      <c r="B152" s="15">
        <v>40550</v>
      </c>
      <c r="C152" s="14">
        <v>1</v>
      </c>
      <c r="D152" s="14">
        <v>0</v>
      </c>
      <c r="E152" s="14">
        <v>1</v>
      </c>
      <c r="F152" s="14">
        <v>13</v>
      </c>
      <c r="G152" s="14" t="b">
        <v>0</v>
      </c>
      <c r="H152" s="14">
        <v>5</v>
      </c>
      <c r="I152" s="14">
        <v>2</v>
      </c>
      <c r="J152" s="14">
        <v>0.2</v>
      </c>
      <c r="K152">
        <f>VLOOKUP(A152,[1]dataset_2!B:H,2,FALSE)</f>
        <v>0.18179999999999999</v>
      </c>
      <c r="L152">
        <f>VLOOKUP(A152,[1]dataset_2!B:H,3,FALSE)</f>
        <v>0.37</v>
      </c>
      <c r="M152">
        <f>VLOOKUP(A152,[1]dataset_2!B:H,4,FALSE)</f>
        <v>0.28360000000000002</v>
      </c>
      <c r="N152">
        <f>VLOOKUP(A152,[1]dataset_2!B:H,5,FALSE)</f>
        <v>9</v>
      </c>
      <c r="O152">
        <f>VLOOKUP(A152,[1]dataset_2!B:H,6,FALSE)</f>
        <v>64</v>
      </c>
      <c r="P152">
        <f>VLOOKUP(A152,[1]dataset_2!B:H,7,FALSE)</f>
        <v>73</v>
      </c>
      <c r="Q152" t="str">
        <f t="shared" si="6"/>
        <v>Weekday</v>
      </c>
      <c r="R152" t="str">
        <f t="shared" si="7"/>
        <v>Afternoon</v>
      </c>
      <c r="S152" t="str">
        <f t="shared" si="8"/>
        <v>Low</v>
      </c>
    </row>
    <row r="153" spans="1:19">
      <c r="A153" s="14">
        <v>152</v>
      </c>
      <c r="B153" s="15">
        <v>40550</v>
      </c>
      <c r="C153" s="14">
        <v>1</v>
      </c>
      <c r="D153" s="14">
        <v>0</v>
      </c>
      <c r="E153" s="14">
        <v>1</v>
      </c>
      <c r="F153" s="14">
        <v>14</v>
      </c>
      <c r="G153" s="14" t="b">
        <v>0</v>
      </c>
      <c r="H153" s="14">
        <v>5</v>
      </c>
      <c r="I153" s="14">
        <v>2</v>
      </c>
      <c r="J153" s="14">
        <v>0.2</v>
      </c>
      <c r="K153">
        <f>VLOOKUP(A153,[1]dataset_2!B:H,2,FALSE)</f>
        <v>0.19700000000000001</v>
      </c>
      <c r="L153">
        <f>VLOOKUP(A153,[1]dataset_2!B:H,3,FALSE)</f>
        <v>0.4</v>
      </c>
      <c r="M153">
        <f>VLOOKUP(A153,[1]dataset_2!B:H,4,FALSE)</f>
        <v>0.25369999999999998</v>
      </c>
      <c r="N153">
        <f>VLOOKUP(A153,[1]dataset_2!B:H,5,FALSE)</f>
        <v>7</v>
      </c>
      <c r="O153">
        <f>VLOOKUP(A153,[1]dataset_2!B:H,6,FALSE)</f>
        <v>43</v>
      </c>
      <c r="P153">
        <f>VLOOKUP(A153,[1]dataset_2!B:H,7,FALSE)</f>
        <v>50</v>
      </c>
      <c r="Q153" t="str">
        <f t="shared" si="6"/>
        <v>Weekday</v>
      </c>
      <c r="R153" t="str">
        <f t="shared" si="7"/>
        <v>Afternoon</v>
      </c>
      <c r="S153" t="str">
        <f t="shared" si="8"/>
        <v>Low</v>
      </c>
    </row>
    <row r="154" spans="1:19">
      <c r="A154" s="14">
        <v>153</v>
      </c>
      <c r="B154" s="15">
        <v>40550</v>
      </c>
      <c r="C154" s="14">
        <v>1</v>
      </c>
      <c r="D154" s="14">
        <v>0</v>
      </c>
      <c r="E154" s="14">
        <v>1</v>
      </c>
      <c r="F154" s="14">
        <v>15</v>
      </c>
      <c r="G154" s="14" t="b">
        <v>0</v>
      </c>
      <c r="H154" s="14">
        <v>5</v>
      </c>
      <c r="I154" s="14">
        <v>2</v>
      </c>
      <c r="J154" s="14">
        <v>0.2</v>
      </c>
      <c r="K154">
        <f>VLOOKUP(A154,[1]dataset_2!B:H,2,FALSE)</f>
        <v>0.21210000000000001</v>
      </c>
      <c r="L154">
        <f>VLOOKUP(A154,[1]dataset_2!B:H,3,FALSE)</f>
        <v>0.37</v>
      </c>
      <c r="M154">
        <f>VLOOKUP(A154,[1]dataset_2!B:H,4,FALSE)</f>
        <v>0.16420000000000001</v>
      </c>
      <c r="N154">
        <f>VLOOKUP(A154,[1]dataset_2!B:H,5,FALSE)</f>
        <v>9</v>
      </c>
      <c r="O154">
        <f>VLOOKUP(A154,[1]dataset_2!B:H,6,FALSE)</f>
        <v>63</v>
      </c>
      <c r="P154">
        <f>VLOOKUP(A154,[1]dataset_2!B:H,7,FALSE)</f>
        <v>72</v>
      </c>
      <c r="Q154" t="str">
        <f t="shared" si="6"/>
        <v>Weekday</v>
      </c>
      <c r="R154" t="str">
        <f t="shared" si="7"/>
        <v>Afternoon</v>
      </c>
      <c r="S154" t="str">
        <f t="shared" si="8"/>
        <v>Low</v>
      </c>
    </row>
    <row r="155" spans="1:19">
      <c r="A155" s="14">
        <v>154</v>
      </c>
      <c r="B155" s="15">
        <v>40550</v>
      </c>
      <c r="C155" s="14">
        <v>1</v>
      </c>
      <c r="D155" s="14">
        <v>0</v>
      </c>
      <c r="E155" s="14">
        <v>1</v>
      </c>
      <c r="F155" s="14">
        <v>16</v>
      </c>
      <c r="G155" s="14" t="b">
        <v>0</v>
      </c>
      <c r="H155" s="14">
        <v>5</v>
      </c>
      <c r="I155" s="14">
        <v>2</v>
      </c>
      <c r="J155" s="14">
        <v>0.2</v>
      </c>
      <c r="K155">
        <f>VLOOKUP(A155,[1]dataset_2!B:H,2,FALSE)</f>
        <v>0.21210000000000001</v>
      </c>
      <c r="L155">
        <f>VLOOKUP(A155,[1]dataset_2!B:H,3,FALSE)</f>
        <v>0.37</v>
      </c>
      <c r="M155">
        <f>VLOOKUP(A155,[1]dataset_2!B:H,4,FALSE)</f>
        <v>0.16420000000000001</v>
      </c>
      <c r="N155">
        <f>VLOOKUP(A155,[1]dataset_2!B:H,5,FALSE)</f>
        <v>5</v>
      </c>
      <c r="O155">
        <f>VLOOKUP(A155,[1]dataset_2!B:H,6,FALSE)</f>
        <v>82</v>
      </c>
      <c r="P155">
        <f>VLOOKUP(A155,[1]dataset_2!B:H,7,FALSE)</f>
        <v>87</v>
      </c>
      <c r="Q155" t="str">
        <f t="shared" si="6"/>
        <v>Weekday</v>
      </c>
      <c r="R155" t="str">
        <f t="shared" si="7"/>
        <v>Afternoon</v>
      </c>
      <c r="S155" t="str">
        <f t="shared" si="8"/>
        <v>Low</v>
      </c>
    </row>
    <row r="156" spans="1:19">
      <c r="A156" s="14">
        <v>155</v>
      </c>
      <c r="B156" s="15">
        <v>40550</v>
      </c>
      <c r="C156" s="14">
        <v>1</v>
      </c>
      <c r="D156" s="14">
        <v>0</v>
      </c>
      <c r="E156" s="14">
        <v>1</v>
      </c>
      <c r="F156" s="14">
        <v>17</v>
      </c>
      <c r="G156" s="14" t="b">
        <v>0</v>
      </c>
      <c r="H156" s="14">
        <v>5</v>
      </c>
      <c r="I156" s="14">
        <v>2</v>
      </c>
      <c r="J156" s="14">
        <v>0.2</v>
      </c>
      <c r="K156">
        <f>VLOOKUP(A156,[1]dataset_2!B:H,2,FALSE)</f>
        <v>0.2576</v>
      </c>
      <c r="L156">
        <f>VLOOKUP(A156,[1]dataset_2!B:H,3,FALSE)</f>
        <v>0.37</v>
      </c>
      <c r="M156">
        <f>VLOOKUP(A156,[1]dataset_2!B:H,4,FALSE)</f>
        <v>0</v>
      </c>
      <c r="N156">
        <f>VLOOKUP(A156,[1]dataset_2!B:H,5,FALSE)</f>
        <v>9</v>
      </c>
      <c r="O156">
        <f>VLOOKUP(A156,[1]dataset_2!B:H,6,FALSE)</f>
        <v>178</v>
      </c>
      <c r="P156">
        <f>VLOOKUP(A156,[1]dataset_2!B:H,7,FALSE)</f>
        <v>187</v>
      </c>
      <c r="Q156" t="str">
        <f t="shared" si="6"/>
        <v>Weekday</v>
      </c>
      <c r="R156" t="str">
        <f t="shared" si="7"/>
        <v>Afternoon</v>
      </c>
      <c r="S156" t="str">
        <f t="shared" si="8"/>
        <v>High</v>
      </c>
    </row>
    <row r="157" spans="1:19">
      <c r="A157" s="14">
        <v>156</v>
      </c>
      <c r="B157" s="15">
        <v>40550</v>
      </c>
      <c r="C157" s="14">
        <v>1</v>
      </c>
      <c r="D157" s="14">
        <v>0</v>
      </c>
      <c r="E157" s="14">
        <v>1</v>
      </c>
      <c r="F157" s="14">
        <v>18</v>
      </c>
      <c r="G157" s="14" t="b">
        <v>0</v>
      </c>
      <c r="H157" s="14">
        <v>5</v>
      </c>
      <c r="I157" s="14">
        <v>1</v>
      </c>
      <c r="J157" s="14">
        <v>0.2</v>
      </c>
      <c r="K157">
        <f>VLOOKUP(A157,[1]dataset_2!B:H,2,FALSE)</f>
        <v>0.2273</v>
      </c>
      <c r="L157">
        <f>VLOOKUP(A157,[1]dataset_2!B:H,3,FALSE)</f>
        <v>0.4</v>
      </c>
      <c r="M157">
        <f>VLOOKUP(A157,[1]dataset_2!B:H,4,FALSE)</f>
        <v>8.9599999999999999E-2</v>
      </c>
      <c r="N157">
        <f>VLOOKUP(A157,[1]dataset_2!B:H,5,FALSE)</f>
        <v>7</v>
      </c>
      <c r="O157">
        <f>VLOOKUP(A157,[1]dataset_2!B:H,6,FALSE)</f>
        <v>116</v>
      </c>
      <c r="P157">
        <f>VLOOKUP(A157,[1]dataset_2!B:H,7,FALSE)</f>
        <v>123</v>
      </c>
      <c r="Q157" t="str">
        <f t="shared" si="6"/>
        <v>Weekday</v>
      </c>
      <c r="R157" t="str">
        <f t="shared" si="7"/>
        <v>Evening</v>
      </c>
      <c r="S157" t="str">
        <f t="shared" si="8"/>
        <v>High</v>
      </c>
    </row>
    <row r="158" spans="1:19">
      <c r="A158" s="14">
        <v>157</v>
      </c>
      <c r="B158" s="15">
        <v>40550</v>
      </c>
      <c r="C158" s="14">
        <v>1</v>
      </c>
      <c r="D158" s="14">
        <v>0</v>
      </c>
      <c r="E158" s="14">
        <v>1</v>
      </c>
      <c r="F158" s="14">
        <v>19</v>
      </c>
      <c r="G158" s="14" t="b">
        <v>0</v>
      </c>
      <c r="H158" s="14">
        <v>5</v>
      </c>
      <c r="I158" s="14">
        <v>1</v>
      </c>
      <c r="J158" s="14">
        <v>0.16</v>
      </c>
      <c r="K158">
        <f>VLOOKUP(A158,[1]dataset_2!B:H,2,FALSE)</f>
        <v>0.19700000000000001</v>
      </c>
      <c r="L158">
        <f>VLOOKUP(A158,[1]dataset_2!B:H,3,FALSE)</f>
        <v>0.55000000000000004</v>
      </c>
      <c r="M158">
        <f>VLOOKUP(A158,[1]dataset_2!B:H,4,FALSE)</f>
        <v>8.9599999999999999E-2</v>
      </c>
      <c r="N158">
        <f>VLOOKUP(A158,[1]dataset_2!B:H,5,FALSE)</f>
        <v>3</v>
      </c>
      <c r="O158">
        <f>VLOOKUP(A158,[1]dataset_2!B:H,6,FALSE)</f>
        <v>92</v>
      </c>
      <c r="P158">
        <f>VLOOKUP(A158,[1]dataset_2!B:H,7,FALSE)</f>
        <v>95</v>
      </c>
      <c r="Q158" t="str">
        <f t="shared" si="6"/>
        <v>Weekday</v>
      </c>
      <c r="R158" t="str">
        <f t="shared" si="7"/>
        <v>Evening</v>
      </c>
      <c r="S158" t="str">
        <f t="shared" si="8"/>
        <v>Low</v>
      </c>
    </row>
    <row r="159" spans="1:19">
      <c r="A159" s="14">
        <v>158</v>
      </c>
      <c r="B159" s="15">
        <v>40550</v>
      </c>
      <c r="C159" s="14">
        <v>1</v>
      </c>
      <c r="D159" s="14">
        <v>0</v>
      </c>
      <c r="E159" s="14">
        <v>1</v>
      </c>
      <c r="F159" s="14">
        <v>20</v>
      </c>
      <c r="G159" s="14" t="b">
        <v>0</v>
      </c>
      <c r="H159" s="14">
        <v>5</v>
      </c>
      <c r="I159" s="14">
        <v>1</v>
      </c>
      <c r="J159" s="14">
        <v>0.18</v>
      </c>
      <c r="K159">
        <f>VLOOKUP(A159,[1]dataset_2!B:H,2,FALSE)</f>
        <v>0.21210000000000001</v>
      </c>
      <c r="L159">
        <f>VLOOKUP(A159,[1]dataset_2!B:H,3,FALSE)</f>
        <v>0.47</v>
      </c>
      <c r="M159">
        <f>VLOOKUP(A159,[1]dataset_2!B:H,4,FALSE)</f>
        <v>0.1045</v>
      </c>
      <c r="N159">
        <f>VLOOKUP(A159,[1]dataset_2!B:H,5,FALSE)</f>
        <v>1</v>
      </c>
      <c r="O159">
        <f>VLOOKUP(A159,[1]dataset_2!B:H,6,FALSE)</f>
        <v>50</v>
      </c>
      <c r="P159">
        <f>VLOOKUP(A159,[1]dataset_2!B:H,7,FALSE)</f>
        <v>51</v>
      </c>
      <c r="Q159" t="str">
        <f t="shared" si="6"/>
        <v>Weekday</v>
      </c>
      <c r="R159" t="str">
        <f t="shared" si="7"/>
        <v>Evening</v>
      </c>
      <c r="S159" t="str">
        <f t="shared" si="8"/>
        <v>Low</v>
      </c>
    </row>
    <row r="160" spans="1:19">
      <c r="A160" s="14">
        <v>159</v>
      </c>
      <c r="B160" s="15">
        <v>40550</v>
      </c>
      <c r="C160" s="14">
        <v>1</v>
      </c>
      <c r="D160" s="14">
        <v>0</v>
      </c>
      <c r="E160" s="14">
        <v>1</v>
      </c>
      <c r="F160" s="14">
        <v>21</v>
      </c>
      <c r="G160" s="14" t="b">
        <v>0</v>
      </c>
      <c r="H160" s="14">
        <v>5</v>
      </c>
      <c r="I160" s="14">
        <v>1</v>
      </c>
      <c r="J160" s="14">
        <v>0.18</v>
      </c>
      <c r="K160">
        <f>VLOOKUP(A160,[1]dataset_2!B:H,2,FALSE)</f>
        <v>0.19700000000000001</v>
      </c>
      <c r="L160">
        <f>VLOOKUP(A160,[1]dataset_2!B:H,3,FALSE)</f>
        <v>0.47</v>
      </c>
      <c r="M160">
        <f>VLOOKUP(A160,[1]dataset_2!B:H,4,FALSE)</f>
        <v>0.1343</v>
      </c>
      <c r="N160">
        <f>VLOOKUP(A160,[1]dataset_2!B:H,5,FALSE)</f>
        <v>0</v>
      </c>
      <c r="O160">
        <f>VLOOKUP(A160,[1]dataset_2!B:H,6,FALSE)</f>
        <v>39</v>
      </c>
      <c r="P160">
        <f>VLOOKUP(A160,[1]dataset_2!B:H,7,FALSE)</f>
        <v>39</v>
      </c>
      <c r="Q160" t="str">
        <f t="shared" si="6"/>
        <v>Weekday</v>
      </c>
      <c r="R160" t="str">
        <f t="shared" si="7"/>
        <v>Evening</v>
      </c>
      <c r="S160" t="str">
        <f t="shared" si="8"/>
        <v>Low</v>
      </c>
    </row>
    <row r="161" spans="1:19">
      <c r="A161" s="14">
        <v>160</v>
      </c>
      <c r="B161" s="15">
        <v>40550</v>
      </c>
      <c r="C161" s="14">
        <v>1</v>
      </c>
      <c r="D161" s="14">
        <v>0</v>
      </c>
      <c r="E161" s="14">
        <v>1</v>
      </c>
      <c r="F161" s="14">
        <v>22</v>
      </c>
      <c r="G161" s="14" t="b">
        <v>0</v>
      </c>
      <c r="H161" s="14">
        <v>5</v>
      </c>
      <c r="I161" s="14">
        <v>2</v>
      </c>
      <c r="J161" s="14">
        <v>0.18</v>
      </c>
      <c r="K161">
        <f>VLOOKUP(A161,[1]dataset_2!B:H,2,FALSE)</f>
        <v>0.19700000000000001</v>
      </c>
      <c r="L161">
        <f>VLOOKUP(A161,[1]dataset_2!B:H,3,FALSE)</f>
        <v>0.43</v>
      </c>
      <c r="M161">
        <f>VLOOKUP(A161,[1]dataset_2!B:H,4,FALSE)</f>
        <v>0.16420000000000001</v>
      </c>
      <c r="N161">
        <f>VLOOKUP(A161,[1]dataset_2!B:H,5,FALSE)</f>
        <v>2</v>
      </c>
      <c r="O161">
        <f>VLOOKUP(A161,[1]dataset_2!B:H,6,FALSE)</f>
        <v>34</v>
      </c>
      <c r="P161">
        <f>VLOOKUP(A161,[1]dataset_2!B:H,7,FALSE)</f>
        <v>36</v>
      </c>
      <c r="Q161" t="str">
        <f t="shared" si="6"/>
        <v>Weekday</v>
      </c>
      <c r="R161" t="str">
        <f t="shared" si="7"/>
        <v>Evening</v>
      </c>
      <c r="S161" t="str">
        <f t="shared" si="8"/>
        <v>Low</v>
      </c>
    </row>
    <row r="162" spans="1:19">
      <c r="A162" s="14">
        <v>161</v>
      </c>
      <c r="B162" s="15">
        <v>40550</v>
      </c>
      <c r="C162" s="14">
        <v>1</v>
      </c>
      <c r="D162" s="14">
        <v>0</v>
      </c>
      <c r="E162" s="14">
        <v>1</v>
      </c>
      <c r="F162" s="14">
        <v>23</v>
      </c>
      <c r="G162" s="14" t="b">
        <v>0</v>
      </c>
      <c r="H162" s="14">
        <v>5</v>
      </c>
      <c r="I162" s="14">
        <v>2</v>
      </c>
      <c r="J162" s="14">
        <v>0.18</v>
      </c>
      <c r="K162">
        <f>VLOOKUP(A162,[1]dataset_2!B:H,2,FALSE)</f>
        <v>0.19700000000000001</v>
      </c>
      <c r="L162">
        <f>VLOOKUP(A162,[1]dataset_2!B:H,3,FALSE)</f>
        <v>0.51</v>
      </c>
      <c r="M162">
        <f>VLOOKUP(A162,[1]dataset_2!B:H,4,FALSE)</f>
        <v>0.16420000000000001</v>
      </c>
      <c r="N162">
        <f>VLOOKUP(A162,[1]dataset_2!B:H,5,FALSE)</f>
        <v>1</v>
      </c>
      <c r="O162">
        <f>VLOOKUP(A162,[1]dataset_2!B:H,6,FALSE)</f>
        <v>14</v>
      </c>
      <c r="P162">
        <f>VLOOKUP(A162,[1]dataset_2!B:H,7,FALSE)</f>
        <v>15</v>
      </c>
      <c r="Q162" t="str">
        <f t="shared" si="6"/>
        <v>Weekday</v>
      </c>
      <c r="R162" t="str">
        <f t="shared" si="7"/>
        <v>Evening</v>
      </c>
      <c r="S162" t="str">
        <f t="shared" si="8"/>
        <v>Low</v>
      </c>
    </row>
    <row r="163" spans="1:19">
      <c r="A163" s="14">
        <v>162</v>
      </c>
      <c r="B163" s="15">
        <v>40551</v>
      </c>
      <c r="C163" s="14">
        <v>1</v>
      </c>
      <c r="D163" s="14">
        <v>0</v>
      </c>
      <c r="E163" s="14">
        <v>1</v>
      </c>
      <c r="F163" s="14">
        <v>0</v>
      </c>
      <c r="G163" s="14" t="b">
        <v>0</v>
      </c>
      <c r="H163" s="14">
        <v>6</v>
      </c>
      <c r="I163" s="14">
        <v>2</v>
      </c>
      <c r="J163" s="14">
        <v>0.18</v>
      </c>
      <c r="K163">
        <f>VLOOKUP(A163,[1]dataset_2!B:H,2,FALSE)</f>
        <v>0.19700000000000001</v>
      </c>
      <c r="L163">
        <f>VLOOKUP(A163,[1]dataset_2!B:H,3,FALSE)</f>
        <v>0.51</v>
      </c>
      <c r="M163">
        <f>VLOOKUP(A163,[1]dataset_2!B:H,4,FALSE)</f>
        <v>0.16420000000000001</v>
      </c>
      <c r="N163">
        <f>VLOOKUP(A163,[1]dataset_2!B:H,5,FALSE)</f>
        <v>1</v>
      </c>
      <c r="O163">
        <f>VLOOKUP(A163,[1]dataset_2!B:H,6,FALSE)</f>
        <v>24</v>
      </c>
      <c r="P163">
        <f>VLOOKUP(A163,[1]dataset_2!B:H,7,FALSE)</f>
        <v>25</v>
      </c>
      <c r="Q163" t="str">
        <f t="shared" si="6"/>
        <v>Weekend</v>
      </c>
      <c r="R163" t="str">
        <f t="shared" si="7"/>
        <v>Morning</v>
      </c>
      <c r="S163" t="str">
        <f t="shared" si="8"/>
        <v>Low</v>
      </c>
    </row>
    <row r="164" spans="1:19">
      <c r="A164" s="14">
        <v>163</v>
      </c>
      <c r="B164" s="15">
        <v>40551</v>
      </c>
      <c r="C164" s="14">
        <v>1</v>
      </c>
      <c r="D164" s="14">
        <v>0</v>
      </c>
      <c r="E164" s="14">
        <v>1</v>
      </c>
      <c r="F164" s="14">
        <v>1</v>
      </c>
      <c r="G164" s="14" t="b">
        <v>0</v>
      </c>
      <c r="H164" s="14">
        <v>6</v>
      </c>
      <c r="I164" s="14">
        <v>2</v>
      </c>
      <c r="J164" s="14">
        <v>0.18</v>
      </c>
      <c r="K164">
        <f>VLOOKUP(A164,[1]dataset_2!B:H,2,FALSE)</f>
        <v>0.21210000000000001</v>
      </c>
      <c r="L164">
        <f>VLOOKUP(A164,[1]dataset_2!B:H,3,FALSE)</f>
        <v>0.55000000000000004</v>
      </c>
      <c r="M164">
        <f>VLOOKUP(A164,[1]dataset_2!B:H,4,FALSE)</f>
        <v>8.9599999999999999E-2</v>
      </c>
      <c r="N164">
        <f>VLOOKUP(A164,[1]dataset_2!B:H,5,FALSE)</f>
        <v>1</v>
      </c>
      <c r="O164">
        <f>VLOOKUP(A164,[1]dataset_2!B:H,6,FALSE)</f>
        <v>15</v>
      </c>
      <c r="P164">
        <f>VLOOKUP(A164,[1]dataset_2!B:H,7,FALSE)</f>
        <v>16</v>
      </c>
      <c r="Q164" t="str">
        <f t="shared" si="6"/>
        <v>Weekend</v>
      </c>
      <c r="R164" t="str">
        <f t="shared" si="7"/>
        <v>Morning</v>
      </c>
      <c r="S164" t="str">
        <f t="shared" si="8"/>
        <v>Low</v>
      </c>
    </row>
    <row r="165" spans="1:19">
      <c r="A165" s="14">
        <v>164</v>
      </c>
      <c r="B165" s="15">
        <v>40551</v>
      </c>
      <c r="C165" s="14">
        <v>1</v>
      </c>
      <c r="D165" s="14">
        <v>0</v>
      </c>
      <c r="E165" s="14">
        <v>1</v>
      </c>
      <c r="F165" s="14">
        <v>2</v>
      </c>
      <c r="G165" s="14" t="b">
        <v>0</v>
      </c>
      <c r="H165" s="14">
        <v>6</v>
      </c>
      <c r="I165" s="14">
        <v>2</v>
      </c>
      <c r="J165" s="14">
        <v>0.18</v>
      </c>
      <c r="K165">
        <f>VLOOKUP(A165,[1]dataset_2!B:H,2,FALSE)</f>
        <v>0.2424</v>
      </c>
      <c r="L165">
        <f>VLOOKUP(A165,[1]dataset_2!B:H,3,FALSE)</f>
        <v>0.55000000000000004</v>
      </c>
      <c r="M165">
        <f>VLOOKUP(A165,[1]dataset_2!B:H,4,FALSE)</f>
        <v>0</v>
      </c>
      <c r="N165">
        <f>VLOOKUP(A165,[1]dataset_2!B:H,5,FALSE)</f>
        <v>3</v>
      </c>
      <c r="O165">
        <f>VLOOKUP(A165,[1]dataset_2!B:H,6,FALSE)</f>
        <v>13</v>
      </c>
      <c r="P165">
        <f>VLOOKUP(A165,[1]dataset_2!B:H,7,FALSE)</f>
        <v>16</v>
      </c>
      <c r="Q165" t="str">
        <f t="shared" si="6"/>
        <v>Weekend</v>
      </c>
      <c r="R165" t="str">
        <f t="shared" si="7"/>
        <v>Morning</v>
      </c>
      <c r="S165" t="str">
        <f t="shared" si="8"/>
        <v>Low</v>
      </c>
    </row>
    <row r="166" spans="1:19">
      <c r="A166" s="14">
        <v>165</v>
      </c>
      <c r="B166" s="15">
        <v>40551</v>
      </c>
      <c r="C166" s="14">
        <v>1</v>
      </c>
      <c r="D166" s="14">
        <v>0</v>
      </c>
      <c r="E166" s="14">
        <v>1</v>
      </c>
      <c r="F166" s="14">
        <v>3</v>
      </c>
      <c r="G166" s="14" t="b">
        <v>0</v>
      </c>
      <c r="H166" s="14">
        <v>6</v>
      </c>
      <c r="I166" s="14">
        <v>3</v>
      </c>
      <c r="J166" s="14">
        <v>0.18</v>
      </c>
      <c r="K166">
        <f>VLOOKUP(A166,[1]dataset_2!B:H,2,FALSE)</f>
        <v>0.19700000000000001</v>
      </c>
      <c r="L166">
        <f>VLOOKUP(A166,[1]dataset_2!B:H,3,FALSE)</f>
        <v>0.55000000000000004</v>
      </c>
      <c r="M166">
        <f>VLOOKUP(A166,[1]dataset_2!B:H,4,FALSE)</f>
        <v>0.16420000000000001</v>
      </c>
      <c r="N166">
        <f>VLOOKUP(A166,[1]dataset_2!B:H,5,FALSE)</f>
        <v>0</v>
      </c>
      <c r="O166">
        <f>VLOOKUP(A166,[1]dataset_2!B:H,6,FALSE)</f>
        <v>7</v>
      </c>
      <c r="P166">
        <f>VLOOKUP(A166,[1]dataset_2!B:H,7,FALSE)</f>
        <v>7</v>
      </c>
      <c r="Q166" t="str">
        <f t="shared" si="6"/>
        <v>Weekend</v>
      </c>
      <c r="R166" t="str">
        <f t="shared" si="7"/>
        <v>Morning</v>
      </c>
      <c r="S166" t="str">
        <f t="shared" si="8"/>
        <v>Low</v>
      </c>
    </row>
    <row r="167" spans="1:19">
      <c r="A167" s="14">
        <v>166</v>
      </c>
      <c r="B167" s="15">
        <v>40551</v>
      </c>
      <c r="C167" s="14">
        <v>1</v>
      </c>
      <c r="D167" s="14">
        <v>0</v>
      </c>
      <c r="E167" s="14">
        <v>1</v>
      </c>
      <c r="F167" s="14">
        <v>4</v>
      </c>
      <c r="G167" s="14" t="b">
        <v>0</v>
      </c>
      <c r="H167" s="14">
        <v>6</v>
      </c>
      <c r="I167" s="14">
        <v>3</v>
      </c>
      <c r="J167" s="14">
        <v>0.18</v>
      </c>
      <c r="K167">
        <f>VLOOKUP(A167,[1]dataset_2!B:H,2,FALSE)</f>
        <v>0.19700000000000001</v>
      </c>
      <c r="L167">
        <f>VLOOKUP(A167,[1]dataset_2!B:H,3,FALSE)</f>
        <v>0.55000000000000004</v>
      </c>
      <c r="M167">
        <f>VLOOKUP(A167,[1]dataset_2!B:H,4,FALSE)</f>
        <v>0.16420000000000001</v>
      </c>
      <c r="N167">
        <f>VLOOKUP(A167,[1]dataset_2!B:H,5,FALSE)</f>
        <v>0</v>
      </c>
      <c r="O167">
        <f>VLOOKUP(A167,[1]dataset_2!B:H,6,FALSE)</f>
        <v>1</v>
      </c>
      <c r="P167">
        <f>VLOOKUP(A167,[1]dataset_2!B:H,7,FALSE)</f>
        <v>1</v>
      </c>
      <c r="Q167" t="str">
        <f t="shared" si="6"/>
        <v>Weekend</v>
      </c>
      <c r="R167" t="str">
        <f t="shared" si="7"/>
        <v>Morning</v>
      </c>
      <c r="S167" t="str">
        <f t="shared" si="8"/>
        <v>Low</v>
      </c>
    </row>
    <row r="168" spans="1:19">
      <c r="A168" s="14">
        <v>167</v>
      </c>
      <c r="B168" s="15">
        <v>40551</v>
      </c>
      <c r="C168" s="14">
        <v>1</v>
      </c>
      <c r="D168" s="14">
        <v>0</v>
      </c>
      <c r="E168" s="14">
        <v>1</v>
      </c>
      <c r="F168" s="14">
        <v>5</v>
      </c>
      <c r="G168" s="14" t="b">
        <v>0</v>
      </c>
      <c r="H168" s="14">
        <v>6</v>
      </c>
      <c r="I168" s="14">
        <v>2</v>
      </c>
      <c r="J168" s="14">
        <v>0.16</v>
      </c>
      <c r="K168">
        <f>VLOOKUP(A168,[1]dataset_2!B:H,2,FALSE)</f>
        <v>0.16669999999999999</v>
      </c>
      <c r="L168">
        <f>VLOOKUP(A168,[1]dataset_2!B:H,3,FALSE)</f>
        <v>0.74</v>
      </c>
      <c r="M168">
        <f>VLOOKUP(A168,[1]dataset_2!B:H,4,FALSE)</f>
        <v>0.16420000000000001</v>
      </c>
      <c r="N168">
        <f>VLOOKUP(A168,[1]dataset_2!B:H,5,FALSE)</f>
        <v>0</v>
      </c>
      <c r="O168">
        <f>VLOOKUP(A168,[1]dataset_2!B:H,6,FALSE)</f>
        <v>5</v>
      </c>
      <c r="P168">
        <f>VLOOKUP(A168,[1]dataset_2!B:H,7,FALSE)</f>
        <v>5</v>
      </c>
      <c r="Q168" t="str">
        <f t="shared" si="6"/>
        <v>Weekend</v>
      </c>
      <c r="R168" t="str">
        <f t="shared" si="7"/>
        <v>Morning</v>
      </c>
      <c r="S168" t="str">
        <f t="shared" si="8"/>
        <v>Low</v>
      </c>
    </row>
    <row r="169" spans="1:19">
      <c r="A169" s="14">
        <v>168</v>
      </c>
      <c r="B169" s="15">
        <v>40551</v>
      </c>
      <c r="C169" s="14">
        <v>1</v>
      </c>
      <c r="D169" s="14">
        <v>0</v>
      </c>
      <c r="E169" s="14">
        <v>1</v>
      </c>
      <c r="F169" s="14">
        <v>6</v>
      </c>
      <c r="G169" s="14" t="b">
        <v>0</v>
      </c>
      <c r="H169" s="14">
        <v>6</v>
      </c>
      <c r="I169" s="14">
        <v>2</v>
      </c>
      <c r="J169" s="14">
        <v>0.16</v>
      </c>
      <c r="K169">
        <f>VLOOKUP(A169,[1]dataset_2!B:H,2,FALSE)</f>
        <v>0.16669999999999999</v>
      </c>
      <c r="L169">
        <f>VLOOKUP(A169,[1]dataset_2!B:H,3,FALSE)</f>
        <v>0.74</v>
      </c>
      <c r="M169">
        <f>VLOOKUP(A169,[1]dataset_2!B:H,4,FALSE)</f>
        <v>0.16420000000000001</v>
      </c>
      <c r="N169">
        <f>VLOOKUP(A169,[1]dataset_2!B:H,5,FALSE)</f>
        <v>0</v>
      </c>
      <c r="O169">
        <f>VLOOKUP(A169,[1]dataset_2!B:H,6,FALSE)</f>
        <v>2</v>
      </c>
      <c r="P169">
        <f>VLOOKUP(A169,[1]dataset_2!B:H,7,FALSE)</f>
        <v>2</v>
      </c>
      <c r="Q169" t="str">
        <f t="shared" si="6"/>
        <v>Weekend</v>
      </c>
      <c r="R169" t="str">
        <f t="shared" si="7"/>
        <v>Morning</v>
      </c>
      <c r="S169" t="str">
        <f t="shared" si="8"/>
        <v>Low</v>
      </c>
    </row>
    <row r="170" spans="1:19">
      <c r="A170" s="14">
        <v>169</v>
      </c>
      <c r="B170" s="15">
        <v>40551</v>
      </c>
      <c r="C170" s="14">
        <v>1</v>
      </c>
      <c r="D170" s="14">
        <v>0</v>
      </c>
      <c r="E170" s="14">
        <v>1</v>
      </c>
      <c r="F170" s="14">
        <v>7</v>
      </c>
      <c r="G170" s="14" t="b">
        <v>0</v>
      </c>
      <c r="H170" s="14">
        <v>6</v>
      </c>
      <c r="I170" s="14">
        <v>2</v>
      </c>
      <c r="J170" s="14">
        <v>0.16</v>
      </c>
      <c r="K170">
        <f>VLOOKUP(A170,[1]dataset_2!B:H,2,FALSE)</f>
        <v>0.18179999999999999</v>
      </c>
      <c r="L170">
        <f>VLOOKUP(A170,[1]dataset_2!B:H,3,FALSE)</f>
        <v>0.74</v>
      </c>
      <c r="M170">
        <f>VLOOKUP(A170,[1]dataset_2!B:H,4,FALSE)</f>
        <v>0.1045</v>
      </c>
      <c r="N170">
        <f>VLOOKUP(A170,[1]dataset_2!B:H,5,FALSE)</f>
        <v>1</v>
      </c>
      <c r="O170">
        <f>VLOOKUP(A170,[1]dataset_2!B:H,6,FALSE)</f>
        <v>8</v>
      </c>
      <c r="P170">
        <f>VLOOKUP(A170,[1]dataset_2!B:H,7,FALSE)</f>
        <v>9</v>
      </c>
      <c r="Q170" t="str">
        <f t="shared" si="6"/>
        <v>Weekend</v>
      </c>
      <c r="R170" t="str">
        <f t="shared" si="7"/>
        <v>Morning</v>
      </c>
      <c r="S170" t="str">
        <f t="shared" si="8"/>
        <v>Low</v>
      </c>
    </row>
    <row r="171" spans="1:19">
      <c r="A171" s="14">
        <v>170</v>
      </c>
      <c r="B171" s="15">
        <v>40551</v>
      </c>
      <c r="C171" s="14">
        <v>1</v>
      </c>
      <c r="D171" s="14">
        <v>0</v>
      </c>
      <c r="E171" s="14">
        <v>1</v>
      </c>
      <c r="F171" s="14">
        <v>8</v>
      </c>
      <c r="G171" s="14" t="b">
        <v>0</v>
      </c>
      <c r="H171" s="14">
        <v>6</v>
      </c>
      <c r="I171" s="14">
        <v>3</v>
      </c>
      <c r="J171" s="14">
        <v>0.16</v>
      </c>
      <c r="K171">
        <f>VLOOKUP(A171,[1]dataset_2!B:H,2,FALSE)</f>
        <v>0.18179999999999999</v>
      </c>
      <c r="L171">
        <f>VLOOKUP(A171,[1]dataset_2!B:H,3,FALSE)</f>
        <v>0.93</v>
      </c>
      <c r="M171">
        <f>VLOOKUP(A171,[1]dataset_2!B:H,4,FALSE)</f>
        <v>0.1045</v>
      </c>
      <c r="N171">
        <f>VLOOKUP(A171,[1]dataset_2!B:H,5,FALSE)</f>
        <v>0</v>
      </c>
      <c r="O171">
        <f>VLOOKUP(A171,[1]dataset_2!B:H,6,FALSE)</f>
        <v>15</v>
      </c>
      <c r="P171">
        <f>VLOOKUP(A171,[1]dataset_2!B:H,7,FALSE)</f>
        <v>15</v>
      </c>
      <c r="Q171" t="str">
        <f t="shared" si="6"/>
        <v>Weekend</v>
      </c>
      <c r="R171" t="str">
        <f t="shared" si="7"/>
        <v>Morning</v>
      </c>
      <c r="S171" t="str">
        <f t="shared" si="8"/>
        <v>Low</v>
      </c>
    </row>
    <row r="172" spans="1:19">
      <c r="A172" s="14">
        <v>171</v>
      </c>
      <c r="B172" s="15">
        <v>40551</v>
      </c>
      <c r="C172" s="14">
        <v>1</v>
      </c>
      <c r="D172" s="14">
        <v>0</v>
      </c>
      <c r="E172" s="14">
        <v>1</v>
      </c>
      <c r="F172" s="14">
        <v>9</v>
      </c>
      <c r="G172" s="14" t="b">
        <v>0</v>
      </c>
      <c r="H172" s="14">
        <v>6</v>
      </c>
      <c r="I172" s="14">
        <v>3</v>
      </c>
      <c r="J172" s="14">
        <v>0.16</v>
      </c>
      <c r="K172">
        <f>VLOOKUP(A172,[1]dataset_2!B:H,2,FALSE)</f>
        <v>0.18179999999999999</v>
      </c>
      <c r="L172">
        <f>VLOOKUP(A172,[1]dataset_2!B:H,3,FALSE)</f>
        <v>0.93</v>
      </c>
      <c r="M172">
        <f>VLOOKUP(A172,[1]dataset_2!B:H,4,FALSE)</f>
        <v>0.1045</v>
      </c>
      <c r="N172">
        <f>VLOOKUP(A172,[1]dataset_2!B:H,5,FALSE)</f>
        <v>0</v>
      </c>
      <c r="O172">
        <f>VLOOKUP(A172,[1]dataset_2!B:H,6,FALSE)</f>
        <v>20</v>
      </c>
      <c r="P172">
        <f>VLOOKUP(A172,[1]dataset_2!B:H,7,FALSE)</f>
        <v>20</v>
      </c>
      <c r="Q172" t="str">
        <f t="shared" si="6"/>
        <v>Weekend</v>
      </c>
      <c r="R172" t="str">
        <f t="shared" si="7"/>
        <v>Morning</v>
      </c>
      <c r="S172" t="str">
        <f t="shared" si="8"/>
        <v>Low</v>
      </c>
    </row>
    <row r="173" spans="1:19">
      <c r="A173" s="14">
        <v>172</v>
      </c>
      <c r="B173" s="15">
        <v>40551</v>
      </c>
      <c r="C173" s="14">
        <v>1</v>
      </c>
      <c r="D173" s="14">
        <v>0</v>
      </c>
      <c r="E173" s="14">
        <v>1</v>
      </c>
      <c r="F173" s="14">
        <v>10</v>
      </c>
      <c r="G173" s="14" t="b">
        <v>0</v>
      </c>
      <c r="H173" s="14">
        <v>6</v>
      </c>
      <c r="I173" s="14">
        <v>2</v>
      </c>
      <c r="J173" s="14">
        <v>0.18</v>
      </c>
      <c r="K173">
        <f>VLOOKUP(A173,[1]dataset_2!B:H,2,FALSE)</f>
        <v>0.19700000000000001</v>
      </c>
      <c r="L173">
        <f>VLOOKUP(A173,[1]dataset_2!B:H,3,FALSE)</f>
        <v>0.8</v>
      </c>
      <c r="M173">
        <f>VLOOKUP(A173,[1]dataset_2!B:H,4,FALSE)</f>
        <v>0.16420000000000001</v>
      </c>
      <c r="N173">
        <f>VLOOKUP(A173,[1]dataset_2!B:H,5,FALSE)</f>
        <v>5</v>
      </c>
      <c r="O173">
        <f>VLOOKUP(A173,[1]dataset_2!B:H,6,FALSE)</f>
        <v>56</v>
      </c>
      <c r="P173">
        <f>VLOOKUP(A173,[1]dataset_2!B:H,7,FALSE)</f>
        <v>61</v>
      </c>
      <c r="Q173" t="str">
        <f t="shared" si="6"/>
        <v>Weekend</v>
      </c>
      <c r="R173" t="str">
        <f t="shared" si="7"/>
        <v>Morning</v>
      </c>
      <c r="S173" t="str">
        <f t="shared" si="8"/>
        <v>Low</v>
      </c>
    </row>
    <row r="174" spans="1:19">
      <c r="A174" s="14">
        <v>173</v>
      </c>
      <c r="B174" s="15">
        <v>40551</v>
      </c>
      <c r="C174" s="14">
        <v>1</v>
      </c>
      <c r="D174" s="14">
        <v>0</v>
      </c>
      <c r="E174" s="14">
        <v>1</v>
      </c>
      <c r="F174" s="14">
        <v>11</v>
      </c>
      <c r="G174" s="14" t="b">
        <v>0</v>
      </c>
      <c r="H174" s="14">
        <v>6</v>
      </c>
      <c r="I174" s="14">
        <v>2</v>
      </c>
      <c r="J174" s="14">
        <v>0.2</v>
      </c>
      <c r="K174">
        <f>VLOOKUP(A174,[1]dataset_2!B:H,2,FALSE)</f>
        <v>0.18179999999999999</v>
      </c>
      <c r="L174">
        <f>VLOOKUP(A174,[1]dataset_2!B:H,3,FALSE)</f>
        <v>0.69</v>
      </c>
      <c r="M174">
        <f>VLOOKUP(A174,[1]dataset_2!B:H,4,FALSE)</f>
        <v>0.3881</v>
      </c>
      <c r="N174">
        <f>VLOOKUP(A174,[1]dataset_2!B:H,5,FALSE)</f>
        <v>2</v>
      </c>
      <c r="O174">
        <f>VLOOKUP(A174,[1]dataset_2!B:H,6,FALSE)</f>
        <v>60</v>
      </c>
      <c r="P174">
        <f>VLOOKUP(A174,[1]dataset_2!B:H,7,FALSE)</f>
        <v>62</v>
      </c>
      <c r="Q174" t="str">
        <f t="shared" si="6"/>
        <v>Weekend</v>
      </c>
      <c r="R174" t="str">
        <f t="shared" si="7"/>
        <v>Morning</v>
      </c>
      <c r="S174" t="str">
        <f t="shared" si="8"/>
        <v>Low</v>
      </c>
    </row>
    <row r="175" spans="1:19">
      <c r="A175" s="14">
        <v>174</v>
      </c>
      <c r="B175" s="15">
        <v>40551</v>
      </c>
      <c r="C175" s="14">
        <v>1</v>
      </c>
      <c r="D175" s="14">
        <v>0</v>
      </c>
      <c r="E175" s="14">
        <v>1</v>
      </c>
      <c r="F175" s="14">
        <v>12</v>
      </c>
      <c r="G175" s="14" t="b">
        <v>0</v>
      </c>
      <c r="H175" s="14">
        <v>6</v>
      </c>
      <c r="I175" s="14">
        <v>2</v>
      </c>
      <c r="J175" s="14">
        <v>0.2</v>
      </c>
      <c r="K175">
        <f>VLOOKUP(A175,[1]dataset_2!B:H,2,FALSE)</f>
        <v>0.18179999999999999</v>
      </c>
      <c r="L175">
        <f>VLOOKUP(A175,[1]dataset_2!B:H,3,FALSE)</f>
        <v>0.59</v>
      </c>
      <c r="M175">
        <f>VLOOKUP(A175,[1]dataset_2!B:H,4,FALSE)</f>
        <v>0.35820000000000002</v>
      </c>
      <c r="N175">
        <f>VLOOKUP(A175,[1]dataset_2!B:H,5,FALSE)</f>
        <v>8</v>
      </c>
      <c r="O175">
        <f>VLOOKUP(A175,[1]dataset_2!B:H,6,FALSE)</f>
        <v>90</v>
      </c>
      <c r="P175">
        <f>VLOOKUP(A175,[1]dataset_2!B:H,7,FALSE)</f>
        <v>98</v>
      </c>
      <c r="Q175" t="str">
        <f t="shared" si="6"/>
        <v>Weekend</v>
      </c>
      <c r="R175" t="str">
        <f t="shared" si="7"/>
        <v>Afternoon</v>
      </c>
      <c r="S175" t="str">
        <f t="shared" si="8"/>
        <v>Low</v>
      </c>
    </row>
    <row r="176" spans="1:19">
      <c r="A176" s="14">
        <v>175</v>
      </c>
      <c r="B176" s="15">
        <v>40551</v>
      </c>
      <c r="C176" s="14">
        <v>1</v>
      </c>
      <c r="D176" s="14">
        <v>0</v>
      </c>
      <c r="E176" s="14">
        <v>1</v>
      </c>
      <c r="F176" s="14">
        <v>13</v>
      </c>
      <c r="G176" s="14" t="b">
        <v>0</v>
      </c>
      <c r="H176" s="14">
        <v>6</v>
      </c>
      <c r="I176" s="14">
        <v>1</v>
      </c>
      <c r="J176" s="14">
        <v>0.2</v>
      </c>
      <c r="K176">
        <f>VLOOKUP(A176,[1]dataset_2!B:H,2,FALSE)</f>
        <v>0.18179999999999999</v>
      </c>
      <c r="L176">
        <f>VLOOKUP(A176,[1]dataset_2!B:H,3,FALSE)</f>
        <v>0.44</v>
      </c>
      <c r="M176">
        <f>VLOOKUP(A176,[1]dataset_2!B:H,4,FALSE)</f>
        <v>0.32840000000000003</v>
      </c>
      <c r="N176">
        <f>VLOOKUP(A176,[1]dataset_2!B:H,5,FALSE)</f>
        <v>7</v>
      </c>
      <c r="O176">
        <f>VLOOKUP(A176,[1]dataset_2!B:H,6,FALSE)</f>
        <v>95</v>
      </c>
      <c r="P176">
        <f>VLOOKUP(A176,[1]dataset_2!B:H,7,FALSE)</f>
        <v>102</v>
      </c>
      <c r="Q176" t="str">
        <f t="shared" si="6"/>
        <v>Weekend</v>
      </c>
      <c r="R176" t="str">
        <f t="shared" si="7"/>
        <v>Afternoon</v>
      </c>
      <c r="S176" t="str">
        <f t="shared" si="8"/>
        <v>High</v>
      </c>
    </row>
    <row r="177" spans="1:19">
      <c r="A177" s="14">
        <v>176</v>
      </c>
      <c r="B177" s="15">
        <v>40551</v>
      </c>
      <c r="C177" s="14">
        <v>1</v>
      </c>
      <c r="D177" s="14">
        <v>0</v>
      </c>
      <c r="E177" s="14">
        <v>1</v>
      </c>
      <c r="F177" s="14">
        <v>14</v>
      </c>
      <c r="G177" s="14" t="b">
        <v>0</v>
      </c>
      <c r="H177" s="14">
        <v>6</v>
      </c>
      <c r="I177" s="14">
        <v>1</v>
      </c>
      <c r="J177" s="14">
        <v>0.2</v>
      </c>
      <c r="K177">
        <f>VLOOKUP(A177,[1]dataset_2!B:H,2,FALSE)</f>
        <v>0.16669999999999999</v>
      </c>
      <c r="L177">
        <f>VLOOKUP(A177,[1]dataset_2!B:H,3,FALSE)</f>
        <v>0.32</v>
      </c>
      <c r="M177">
        <f>VLOOKUP(A177,[1]dataset_2!B:H,4,FALSE)</f>
        <v>0.49249999999999999</v>
      </c>
      <c r="N177">
        <f>VLOOKUP(A177,[1]dataset_2!B:H,5,FALSE)</f>
        <v>12</v>
      </c>
      <c r="O177">
        <f>VLOOKUP(A177,[1]dataset_2!B:H,6,FALSE)</f>
        <v>83</v>
      </c>
      <c r="P177">
        <f>VLOOKUP(A177,[1]dataset_2!B:H,7,FALSE)</f>
        <v>95</v>
      </c>
      <c r="Q177" t="str">
        <f t="shared" si="6"/>
        <v>Weekend</v>
      </c>
      <c r="R177" t="str">
        <f t="shared" si="7"/>
        <v>Afternoon</v>
      </c>
      <c r="S177" t="str">
        <f t="shared" si="8"/>
        <v>Low</v>
      </c>
    </row>
    <row r="178" spans="1:19">
      <c r="A178" s="14">
        <v>177</v>
      </c>
      <c r="B178" s="15">
        <v>40551</v>
      </c>
      <c r="C178" s="14">
        <v>1</v>
      </c>
      <c r="D178" s="14">
        <v>0</v>
      </c>
      <c r="E178" s="14">
        <v>1</v>
      </c>
      <c r="F178" s="14">
        <v>15</v>
      </c>
      <c r="G178" s="14" t="b">
        <v>0</v>
      </c>
      <c r="H178" s="14">
        <v>6</v>
      </c>
      <c r="I178" s="14">
        <v>1</v>
      </c>
      <c r="J178" s="14">
        <v>0.2</v>
      </c>
      <c r="K178">
        <f>VLOOKUP(A178,[1]dataset_2!B:H,2,FALSE)</f>
        <v>0.16669999999999999</v>
      </c>
      <c r="L178">
        <f>VLOOKUP(A178,[1]dataset_2!B:H,3,FALSE)</f>
        <v>0.32</v>
      </c>
      <c r="M178">
        <f>VLOOKUP(A178,[1]dataset_2!B:H,4,FALSE)</f>
        <v>0.44779999999999998</v>
      </c>
      <c r="N178">
        <f>VLOOKUP(A178,[1]dataset_2!B:H,5,FALSE)</f>
        <v>5</v>
      </c>
      <c r="O178">
        <f>VLOOKUP(A178,[1]dataset_2!B:H,6,FALSE)</f>
        <v>69</v>
      </c>
      <c r="P178">
        <f>VLOOKUP(A178,[1]dataset_2!B:H,7,FALSE)</f>
        <v>74</v>
      </c>
      <c r="Q178" t="str">
        <f t="shared" si="6"/>
        <v>Weekend</v>
      </c>
      <c r="R178" t="str">
        <f t="shared" si="7"/>
        <v>Afternoon</v>
      </c>
      <c r="S178" t="str">
        <f t="shared" si="8"/>
        <v>Low</v>
      </c>
    </row>
    <row r="179" spans="1:19">
      <c r="A179" s="14">
        <v>178</v>
      </c>
      <c r="B179" s="15">
        <v>40551</v>
      </c>
      <c r="C179" s="14">
        <v>1</v>
      </c>
      <c r="D179" s="14">
        <v>0</v>
      </c>
      <c r="E179" s="14">
        <v>1</v>
      </c>
      <c r="F179" s="14">
        <v>16</v>
      </c>
      <c r="G179" s="14" t="b">
        <v>0</v>
      </c>
      <c r="H179" s="14">
        <v>6</v>
      </c>
      <c r="I179" s="14">
        <v>1</v>
      </c>
      <c r="J179" s="14">
        <v>0.18</v>
      </c>
      <c r="K179">
        <f>VLOOKUP(A179,[1]dataset_2!B:H,2,FALSE)</f>
        <v>0.13639999999999999</v>
      </c>
      <c r="L179">
        <f>VLOOKUP(A179,[1]dataset_2!B:H,3,FALSE)</f>
        <v>0.28999999999999998</v>
      </c>
      <c r="M179">
        <f>VLOOKUP(A179,[1]dataset_2!B:H,4,FALSE)</f>
        <v>0.44779999999999998</v>
      </c>
      <c r="N179">
        <f>VLOOKUP(A179,[1]dataset_2!B:H,5,FALSE)</f>
        <v>8</v>
      </c>
      <c r="O179">
        <f>VLOOKUP(A179,[1]dataset_2!B:H,6,FALSE)</f>
        <v>68</v>
      </c>
      <c r="P179">
        <f>VLOOKUP(A179,[1]dataset_2!B:H,7,FALSE)</f>
        <v>76</v>
      </c>
      <c r="Q179" t="str">
        <f t="shared" si="6"/>
        <v>Weekend</v>
      </c>
      <c r="R179" t="str">
        <f t="shared" si="7"/>
        <v>Afternoon</v>
      </c>
      <c r="S179" t="str">
        <f t="shared" si="8"/>
        <v>Low</v>
      </c>
    </row>
    <row r="180" spans="1:19">
      <c r="A180" s="14">
        <v>179</v>
      </c>
      <c r="B180" s="15">
        <v>40551</v>
      </c>
      <c r="C180" s="14">
        <v>1</v>
      </c>
      <c r="D180" s="14">
        <v>0</v>
      </c>
      <c r="E180" s="14">
        <v>1</v>
      </c>
      <c r="F180" s="14">
        <v>17</v>
      </c>
      <c r="G180" s="14" t="b">
        <v>0</v>
      </c>
      <c r="H180" s="14">
        <v>6</v>
      </c>
      <c r="I180" s="14">
        <v>1</v>
      </c>
      <c r="J180" s="14">
        <v>0.16</v>
      </c>
      <c r="K180">
        <f>VLOOKUP(A180,[1]dataset_2!B:H,2,FALSE)</f>
        <v>0.1212</v>
      </c>
      <c r="L180">
        <f>VLOOKUP(A180,[1]dataset_2!B:H,3,FALSE)</f>
        <v>0.37</v>
      </c>
      <c r="M180">
        <f>VLOOKUP(A180,[1]dataset_2!B:H,4,FALSE)</f>
        <v>0.55220000000000002</v>
      </c>
      <c r="N180">
        <f>VLOOKUP(A180,[1]dataset_2!B:H,5,FALSE)</f>
        <v>5</v>
      </c>
      <c r="O180">
        <f>VLOOKUP(A180,[1]dataset_2!B:H,6,FALSE)</f>
        <v>64</v>
      </c>
      <c r="P180">
        <f>VLOOKUP(A180,[1]dataset_2!B:H,7,FALSE)</f>
        <v>69</v>
      </c>
      <c r="Q180" t="str">
        <f t="shared" si="6"/>
        <v>Weekend</v>
      </c>
      <c r="R180" t="str">
        <f t="shared" si="7"/>
        <v>Afternoon</v>
      </c>
      <c r="S180" t="str">
        <f t="shared" si="8"/>
        <v>Low</v>
      </c>
    </row>
    <row r="181" spans="1:19">
      <c r="A181" s="14">
        <v>180</v>
      </c>
      <c r="B181" s="15">
        <v>40551</v>
      </c>
      <c r="C181" s="14">
        <v>1</v>
      </c>
      <c r="D181" s="14">
        <v>0</v>
      </c>
      <c r="E181" s="14">
        <v>1</v>
      </c>
      <c r="F181" s="14">
        <v>18</v>
      </c>
      <c r="G181" s="14" t="b">
        <v>0</v>
      </c>
      <c r="H181" s="14">
        <v>6</v>
      </c>
      <c r="I181" s="14">
        <v>1</v>
      </c>
      <c r="J181" s="14">
        <v>0.14000000000000001</v>
      </c>
      <c r="K181">
        <f>VLOOKUP(A181,[1]dataset_2!B:H,2,FALSE)</f>
        <v>0.1212</v>
      </c>
      <c r="L181">
        <f>VLOOKUP(A181,[1]dataset_2!B:H,3,FALSE)</f>
        <v>0.39</v>
      </c>
      <c r="M181">
        <f>VLOOKUP(A181,[1]dataset_2!B:H,4,FALSE)</f>
        <v>0.29849999999999999</v>
      </c>
      <c r="N181">
        <f>VLOOKUP(A181,[1]dataset_2!B:H,5,FALSE)</f>
        <v>3</v>
      </c>
      <c r="O181">
        <f>VLOOKUP(A181,[1]dataset_2!B:H,6,FALSE)</f>
        <v>52</v>
      </c>
      <c r="P181">
        <f>VLOOKUP(A181,[1]dataset_2!B:H,7,FALSE)</f>
        <v>55</v>
      </c>
      <c r="Q181" t="str">
        <f t="shared" si="6"/>
        <v>Weekend</v>
      </c>
      <c r="R181" t="str">
        <f t="shared" si="7"/>
        <v>Evening</v>
      </c>
      <c r="S181" t="str">
        <f t="shared" si="8"/>
        <v>Low</v>
      </c>
    </row>
    <row r="182" spans="1:19">
      <c r="A182" s="14">
        <v>181</v>
      </c>
      <c r="B182" s="15">
        <v>40551</v>
      </c>
      <c r="C182" s="14">
        <v>1</v>
      </c>
      <c r="D182" s="14">
        <v>0</v>
      </c>
      <c r="E182" s="14">
        <v>1</v>
      </c>
      <c r="F182" s="14">
        <v>19</v>
      </c>
      <c r="G182" s="14" t="b">
        <v>0</v>
      </c>
      <c r="H182" s="14">
        <v>6</v>
      </c>
      <c r="I182" s="14">
        <v>1</v>
      </c>
      <c r="J182" s="14">
        <v>0.14000000000000001</v>
      </c>
      <c r="K182">
        <f>VLOOKUP(A182,[1]dataset_2!B:H,2,FALSE)</f>
        <v>0.1212</v>
      </c>
      <c r="L182">
        <f>VLOOKUP(A182,[1]dataset_2!B:H,3,FALSE)</f>
        <v>0.36</v>
      </c>
      <c r="M182">
        <f>VLOOKUP(A182,[1]dataset_2!B:H,4,FALSE)</f>
        <v>0.25369999999999998</v>
      </c>
      <c r="N182">
        <f>VLOOKUP(A182,[1]dataset_2!B:H,5,FALSE)</f>
        <v>4</v>
      </c>
      <c r="O182">
        <f>VLOOKUP(A182,[1]dataset_2!B:H,6,FALSE)</f>
        <v>26</v>
      </c>
      <c r="P182">
        <f>VLOOKUP(A182,[1]dataset_2!B:H,7,FALSE)</f>
        <v>30</v>
      </c>
      <c r="Q182" t="str">
        <f t="shared" si="6"/>
        <v>Weekend</v>
      </c>
      <c r="R182" t="str">
        <f t="shared" si="7"/>
        <v>Evening</v>
      </c>
      <c r="S182" t="str">
        <f t="shared" si="8"/>
        <v>Low</v>
      </c>
    </row>
    <row r="183" spans="1:19">
      <c r="A183" s="14">
        <v>182</v>
      </c>
      <c r="B183" s="15">
        <v>40551</v>
      </c>
      <c r="C183" s="14">
        <v>1</v>
      </c>
      <c r="D183" s="14">
        <v>0</v>
      </c>
      <c r="E183" s="14">
        <v>1</v>
      </c>
      <c r="F183" s="14">
        <v>20</v>
      </c>
      <c r="G183" s="14" t="b">
        <v>0</v>
      </c>
      <c r="H183" s="14">
        <v>6</v>
      </c>
      <c r="I183" s="14">
        <v>1</v>
      </c>
      <c r="J183" s="14">
        <v>0.12</v>
      </c>
      <c r="K183">
        <f>VLOOKUP(A183,[1]dataset_2!B:H,2,FALSE)</f>
        <v>0.1212</v>
      </c>
      <c r="L183">
        <f>VLOOKUP(A183,[1]dataset_2!B:H,3,FALSE)</f>
        <v>0.36</v>
      </c>
      <c r="M183">
        <f>VLOOKUP(A183,[1]dataset_2!B:H,4,FALSE)</f>
        <v>0.25369999999999998</v>
      </c>
      <c r="N183">
        <f>VLOOKUP(A183,[1]dataset_2!B:H,5,FALSE)</f>
        <v>0</v>
      </c>
      <c r="O183">
        <f>VLOOKUP(A183,[1]dataset_2!B:H,6,FALSE)</f>
        <v>28</v>
      </c>
      <c r="P183">
        <f>VLOOKUP(A183,[1]dataset_2!B:H,7,FALSE)</f>
        <v>28</v>
      </c>
      <c r="Q183" t="str">
        <f t="shared" si="6"/>
        <v>Weekend</v>
      </c>
      <c r="R183" t="str">
        <f t="shared" si="7"/>
        <v>Evening</v>
      </c>
      <c r="S183" t="str">
        <f t="shared" si="8"/>
        <v>Low</v>
      </c>
    </row>
    <row r="184" spans="1:19">
      <c r="A184" s="14">
        <v>183</v>
      </c>
      <c r="B184" s="15">
        <v>40551</v>
      </c>
      <c r="C184" s="14">
        <v>1</v>
      </c>
      <c r="D184" s="14">
        <v>0</v>
      </c>
      <c r="E184" s="14">
        <v>1</v>
      </c>
      <c r="F184" s="14">
        <v>21</v>
      </c>
      <c r="G184" s="14" t="b">
        <v>0</v>
      </c>
      <c r="H184" s="14">
        <v>6</v>
      </c>
      <c r="I184" s="14">
        <v>1</v>
      </c>
      <c r="J184" s="14">
        <v>0.12</v>
      </c>
      <c r="K184">
        <f>VLOOKUP(A184,[1]dataset_2!B:H,2,FALSE)</f>
        <v>0.1061</v>
      </c>
      <c r="L184">
        <f>VLOOKUP(A184,[1]dataset_2!B:H,3,FALSE)</f>
        <v>0.39</v>
      </c>
      <c r="M184">
        <f>VLOOKUP(A184,[1]dataset_2!B:H,4,FALSE)</f>
        <v>0.35820000000000002</v>
      </c>
      <c r="N184">
        <f>VLOOKUP(A184,[1]dataset_2!B:H,5,FALSE)</f>
        <v>2</v>
      </c>
      <c r="O184">
        <f>VLOOKUP(A184,[1]dataset_2!B:H,6,FALSE)</f>
        <v>35</v>
      </c>
      <c r="P184">
        <f>VLOOKUP(A184,[1]dataset_2!B:H,7,FALSE)</f>
        <v>37</v>
      </c>
      <c r="Q184" t="str">
        <f t="shared" si="6"/>
        <v>Weekend</v>
      </c>
      <c r="R184" t="str">
        <f t="shared" si="7"/>
        <v>Evening</v>
      </c>
      <c r="S184" t="str">
        <f t="shared" si="8"/>
        <v>Low</v>
      </c>
    </row>
    <row r="185" spans="1:19">
      <c r="A185" s="14">
        <v>184</v>
      </c>
      <c r="B185" s="15">
        <v>40551</v>
      </c>
      <c r="C185" s="14">
        <v>1</v>
      </c>
      <c r="D185" s="14">
        <v>0</v>
      </c>
      <c r="E185" s="14">
        <v>1</v>
      </c>
      <c r="F185" s="14">
        <v>22</v>
      </c>
      <c r="G185" s="14" t="b">
        <v>0</v>
      </c>
      <c r="H185" s="14">
        <v>6</v>
      </c>
      <c r="I185" s="14">
        <v>1</v>
      </c>
      <c r="J185" s="14">
        <v>0.12</v>
      </c>
      <c r="K185">
        <f>VLOOKUP(A185,[1]dataset_2!B:H,2,FALSE)</f>
        <v>0.1061</v>
      </c>
      <c r="L185">
        <f>VLOOKUP(A185,[1]dataset_2!B:H,3,FALSE)</f>
        <v>0.36</v>
      </c>
      <c r="M185">
        <f>VLOOKUP(A185,[1]dataset_2!B:H,4,FALSE)</f>
        <v>0.3881</v>
      </c>
      <c r="N185">
        <f>VLOOKUP(A185,[1]dataset_2!B:H,5,FALSE)</f>
        <v>1</v>
      </c>
      <c r="O185">
        <f>VLOOKUP(A185,[1]dataset_2!B:H,6,FALSE)</f>
        <v>33</v>
      </c>
      <c r="P185">
        <f>VLOOKUP(A185,[1]dataset_2!B:H,7,FALSE)</f>
        <v>34</v>
      </c>
      <c r="Q185" t="str">
        <f t="shared" si="6"/>
        <v>Weekend</v>
      </c>
      <c r="R185" t="str">
        <f t="shared" si="7"/>
        <v>Evening</v>
      </c>
      <c r="S185" t="str">
        <f t="shared" si="8"/>
        <v>Low</v>
      </c>
    </row>
    <row r="186" spans="1:19">
      <c r="A186" s="14">
        <v>185</v>
      </c>
      <c r="B186" s="15">
        <v>40551</v>
      </c>
      <c r="C186" s="14">
        <v>1</v>
      </c>
      <c r="D186" s="14">
        <v>0</v>
      </c>
      <c r="E186" s="14">
        <v>1</v>
      </c>
      <c r="F186" s="14">
        <v>23</v>
      </c>
      <c r="G186" s="14" t="b">
        <v>0</v>
      </c>
      <c r="H186" s="14">
        <v>6</v>
      </c>
      <c r="I186" s="14">
        <v>1</v>
      </c>
      <c r="J186" s="14">
        <v>0.1</v>
      </c>
      <c r="K186">
        <f>VLOOKUP(A186,[1]dataset_2!B:H,2,FALSE)</f>
        <v>6.0600000000000001E-2</v>
      </c>
      <c r="L186">
        <f>VLOOKUP(A186,[1]dataset_2!B:H,3,FALSE)</f>
        <v>0.39</v>
      </c>
      <c r="M186">
        <f>VLOOKUP(A186,[1]dataset_2!B:H,4,FALSE)</f>
        <v>0.44779999999999998</v>
      </c>
      <c r="N186">
        <f>VLOOKUP(A186,[1]dataset_2!B:H,5,FALSE)</f>
        <v>0</v>
      </c>
      <c r="O186">
        <f>VLOOKUP(A186,[1]dataset_2!B:H,6,FALSE)</f>
        <v>22</v>
      </c>
      <c r="P186">
        <f>VLOOKUP(A186,[1]dataset_2!B:H,7,FALSE)</f>
        <v>22</v>
      </c>
      <c r="Q186" t="str">
        <f t="shared" si="6"/>
        <v>Weekend</v>
      </c>
      <c r="R186" t="str">
        <f t="shared" si="7"/>
        <v>Evening</v>
      </c>
      <c r="S186" t="str">
        <f t="shared" si="8"/>
        <v>Low</v>
      </c>
    </row>
    <row r="187" spans="1:19">
      <c r="A187" s="14">
        <v>186</v>
      </c>
      <c r="B187" s="15">
        <v>40552</v>
      </c>
      <c r="C187" s="14">
        <v>1</v>
      </c>
      <c r="D187" s="14">
        <v>0</v>
      </c>
      <c r="E187" s="14">
        <v>1</v>
      </c>
      <c r="F187" s="14">
        <v>0</v>
      </c>
      <c r="G187" s="14" t="b">
        <v>0</v>
      </c>
      <c r="H187" s="14">
        <v>0</v>
      </c>
      <c r="I187" s="14">
        <v>1</v>
      </c>
      <c r="J187" s="14">
        <v>0.1</v>
      </c>
      <c r="K187">
        <f>VLOOKUP(A187,[1]dataset_2!B:H,2,FALSE)</f>
        <v>7.5800000000000006E-2</v>
      </c>
      <c r="L187">
        <f>VLOOKUP(A187,[1]dataset_2!B:H,3,FALSE)</f>
        <v>0.42</v>
      </c>
      <c r="M187">
        <f>VLOOKUP(A187,[1]dataset_2!B:H,4,FALSE)</f>
        <v>0.3881</v>
      </c>
      <c r="N187">
        <f>VLOOKUP(A187,[1]dataset_2!B:H,5,FALSE)</f>
        <v>1</v>
      </c>
      <c r="O187">
        <f>VLOOKUP(A187,[1]dataset_2!B:H,6,FALSE)</f>
        <v>24</v>
      </c>
      <c r="P187">
        <f>VLOOKUP(A187,[1]dataset_2!B:H,7,FALSE)</f>
        <v>25</v>
      </c>
      <c r="Q187" t="str">
        <f t="shared" si="6"/>
        <v>Weekend</v>
      </c>
      <c r="R187" t="str">
        <f t="shared" si="7"/>
        <v>Morning</v>
      </c>
      <c r="S187" t="str">
        <f t="shared" si="8"/>
        <v>Low</v>
      </c>
    </row>
    <row r="188" spans="1:19">
      <c r="A188" s="14">
        <v>187</v>
      </c>
      <c r="B188" s="15">
        <v>40552</v>
      </c>
      <c r="C188" s="14">
        <v>1</v>
      </c>
      <c r="D188" s="14">
        <v>0</v>
      </c>
      <c r="E188" s="14">
        <v>1</v>
      </c>
      <c r="F188" s="14">
        <v>1</v>
      </c>
      <c r="G188" s="14" t="b">
        <v>0</v>
      </c>
      <c r="H188" s="14">
        <v>0</v>
      </c>
      <c r="I188" s="14">
        <v>1</v>
      </c>
      <c r="J188" s="14">
        <v>0.1</v>
      </c>
      <c r="K188">
        <f>VLOOKUP(A188,[1]dataset_2!B:H,2,FALSE)</f>
        <v>6.0600000000000001E-2</v>
      </c>
      <c r="L188">
        <f>VLOOKUP(A188,[1]dataset_2!B:H,3,FALSE)</f>
        <v>0.42</v>
      </c>
      <c r="M188">
        <f>VLOOKUP(A188,[1]dataset_2!B:H,4,FALSE)</f>
        <v>0.4627</v>
      </c>
      <c r="N188">
        <f>VLOOKUP(A188,[1]dataset_2!B:H,5,FALSE)</f>
        <v>0</v>
      </c>
      <c r="O188">
        <f>VLOOKUP(A188,[1]dataset_2!B:H,6,FALSE)</f>
        <v>12</v>
      </c>
      <c r="P188">
        <f>VLOOKUP(A188,[1]dataset_2!B:H,7,FALSE)</f>
        <v>12</v>
      </c>
      <c r="Q188" t="str">
        <f t="shared" si="6"/>
        <v>Weekend</v>
      </c>
      <c r="R188" t="str">
        <f t="shared" si="7"/>
        <v>Morning</v>
      </c>
      <c r="S188" t="str">
        <f t="shared" si="8"/>
        <v>Low</v>
      </c>
    </row>
    <row r="189" spans="1:19">
      <c r="A189" s="14">
        <v>188</v>
      </c>
      <c r="B189" s="15">
        <v>40552</v>
      </c>
      <c r="C189" s="14">
        <v>1</v>
      </c>
      <c r="D189" s="14">
        <v>0</v>
      </c>
      <c r="E189" s="14">
        <v>1</v>
      </c>
      <c r="F189" s="14">
        <v>2</v>
      </c>
      <c r="G189" s="14" t="b">
        <v>0</v>
      </c>
      <c r="H189" s="14">
        <v>0</v>
      </c>
      <c r="I189" s="14">
        <v>1</v>
      </c>
      <c r="J189" s="14">
        <v>0.1</v>
      </c>
      <c r="K189">
        <f>VLOOKUP(A189,[1]dataset_2!B:H,2,FALSE)</f>
        <v>6.0600000000000001E-2</v>
      </c>
      <c r="L189">
        <f>VLOOKUP(A189,[1]dataset_2!B:H,3,FALSE)</f>
        <v>0.46</v>
      </c>
      <c r="M189">
        <f>VLOOKUP(A189,[1]dataset_2!B:H,4,FALSE)</f>
        <v>0.4627</v>
      </c>
      <c r="N189">
        <f>VLOOKUP(A189,[1]dataset_2!B:H,5,FALSE)</f>
        <v>0</v>
      </c>
      <c r="O189">
        <f>VLOOKUP(A189,[1]dataset_2!B:H,6,FALSE)</f>
        <v>11</v>
      </c>
      <c r="P189">
        <f>VLOOKUP(A189,[1]dataset_2!B:H,7,FALSE)</f>
        <v>11</v>
      </c>
      <c r="Q189" t="str">
        <f t="shared" si="6"/>
        <v>Weekend</v>
      </c>
      <c r="R189" t="str">
        <f t="shared" si="7"/>
        <v>Morning</v>
      </c>
      <c r="S189" t="str">
        <f t="shared" si="8"/>
        <v>Low</v>
      </c>
    </row>
    <row r="190" spans="1:19">
      <c r="A190" s="14">
        <v>189</v>
      </c>
      <c r="B190" s="15">
        <v>40552</v>
      </c>
      <c r="C190" s="14">
        <v>1</v>
      </c>
      <c r="D190" s="14">
        <v>0</v>
      </c>
      <c r="E190" s="14">
        <v>1</v>
      </c>
      <c r="F190" s="14">
        <v>3</v>
      </c>
      <c r="G190" s="14" t="b">
        <v>0</v>
      </c>
      <c r="H190" s="14">
        <v>0</v>
      </c>
      <c r="I190" s="14">
        <v>1</v>
      </c>
      <c r="J190" s="14">
        <v>0.1</v>
      </c>
      <c r="K190">
        <f>VLOOKUP(A190,[1]dataset_2!B:H,2,FALSE)</f>
        <v>7.5800000000000006E-2</v>
      </c>
      <c r="L190">
        <f>VLOOKUP(A190,[1]dataset_2!B:H,3,FALSE)</f>
        <v>0.46</v>
      </c>
      <c r="M190">
        <f>VLOOKUP(A190,[1]dataset_2!B:H,4,FALSE)</f>
        <v>0.41789999999999999</v>
      </c>
      <c r="N190">
        <f>VLOOKUP(A190,[1]dataset_2!B:H,5,FALSE)</f>
        <v>0</v>
      </c>
      <c r="O190">
        <f>VLOOKUP(A190,[1]dataset_2!B:H,6,FALSE)</f>
        <v>4</v>
      </c>
      <c r="P190">
        <f>VLOOKUP(A190,[1]dataset_2!B:H,7,FALSE)</f>
        <v>4</v>
      </c>
      <c r="Q190" t="str">
        <f t="shared" si="6"/>
        <v>Weekend</v>
      </c>
      <c r="R190" t="str">
        <f t="shared" si="7"/>
        <v>Morning</v>
      </c>
      <c r="S190" t="str">
        <f t="shared" si="8"/>
        <v>Low</v>
      </c>
    </row>
    <row r="191" spans="1:19">
      <c r="A191" s="14">
        <v>190</v>
      </c>
      <c r="B191" s="15">
        <v>40552</v>
      </c>
      <c r="C191" s="14">
        <v>1</v>
      </c>
      <c r="D191" s="14">
        <v>0</v>
      </c>
      <c r="E191" s="14">
        <v>1</v>
      </c>
      <c r="F191" s="14">
        <v>4</v>
      </c>
      <c r="G191" s="14" t="b">
        <v>0</v>
      </c>
      <c r="H191" s="14">
        <v>0</v>
      </c>
      <c r="I191" s="14">
        <v>1</v>
      </c>
      <c r="J191" s="14">
        <v>0.08</v>
      </c>
      <c r="K191">
        <f>VLOOKUP(A191,[1]dataset_2!B:H,2,FALSE)</f>
        <v>9.0899999999999995E-2</v>
      </c>
      <c r="L191">
        <f>VLOOKUP(A191,[1]dataset_2!B:H,3,FALSE)</f>
        <v>0.53</v>
      </c>
      <c r="M191">
        <f>VLOOKUP(A191,[1]dataset_2!B:H,4,FALSE)</f>
        <v>0.19400000000000001</v>
      </c>
      <c r="N191">
        <f>VLOOKUP(A191,[1]dataset_2!B:H,5,FALSE)</f>
        <v>0</v>
      </c>
      <c r="O191">
        <f>VLOOKUP(A191,[1]dataset_2!B:H,6,FALSE)</f>
        <v>1</v>
      </c>
      <c r="P191">
        <f>VLOOKUP(A191,[1]dataset_2!B:H,7,FALSE)</f>
        <v>1</v>
      </c>
      <c r="Q191" t="str">
        <f t="shared" si="6"/>
        <v>Weekend</v>
      </c>
      <c r="R191" t="str">
        <f t="shared" si="7"/>
        <v>Morning</v>
      </c>
      <c r="S191" t="str">
        <f t="shared" si="8"/>
        <v>Low</v>
      </c>
    </row>
    <row r="192" spans="1:19">
      <c r="A192" s="14">
        <v>191</v>
      </c>
      <c r="B192" s="15">
        <v>40552</v>
      </c>
      <c r="C192" s="14">
        <v>1</v>
      </c>
      <c r="D192" s="14">
        <v>0</v>
      </c>
      <c r="E192" s="14">
        <v>1</v>
      </c>
      <c r="F192" s="14">
        <v>5</v>
      </c>
      <c r="G192" s="14" t="b">
        <v>0</v>
      </c>
      <c r="H192" s="14">
        <v>0</v>
      </c>
      <c r="I192" s="14">
        <v>1</v>
      </c>
      <c r="J192" s="14">
        <v>0.08</v>
      </c>
      <c r="K192">
        <f>VLOOKUP(A192,[1]dataset_2!B:H,2,FALSE)</f>
        <v>9.0899999999999995E-2</v>
      </c>
      <c r="L192">
        <f>VLOOKUP(A192,[1]dataset_2!B:H,3,FALSE)</f>
        <v>0.53</v>
      </c>
      <c r="M192">
        <f>VLOOKUP(A192,[1]dataset_2!B:H,4,FALSE)</f>
        <v>0.19400000000000001</v>
      </c>
      <c r="N192">
        <f>VLOOKUP(A192,[1]dataset_2!B:H,5,FALSE)</f>
        <v>0</v>
      </c>
      <c r="O192">
        <f>VLOOKUP(A192,[1]dataset_2!B:H,6,FALSE)</f>
        <v>1</v>
      </c>
      <c r="P192">
        <f>VLOOKUP(A192,[1]dataset_2!B:H,7,FALSE)</f>
        <v>1</v>
      </c>
      <c r="Q192" t="str">
        <f t="shared" si="6"/>
        <v>Weekend</v>
      </c>
      <c r="R192" t="str">
        <f t="shared" si="7"/>
        <v>Morning</v>
      </c>
      <c r="S192" t="str">
        <f t="shared" si="8"/>
        <v>Low</v>
      </c>
    </row>
    <row r="193" spans="1:19">
      <c r="A193" s="14">
        <v>192</v>
      </c>
      <c r="B193" s="15">
        <v>40552</v>
      </c>
      <c r="C193" s="14">
        <v>1</v>
      </c>
      <c r="D193" s="14">
        <v>0</v>
      </c>
      <c r="E193" s="14">
        <v>1</v>
      </c>
      <c r="F193" s="14">
        <v>6</v>
      </c>
      <c r="G193" s="14" t="b">
        <v>0</v>
      </c>
      <c r="H193" s="14">
        <v>0</v>
      </c>
      <c r="I193" s="14">
        <v>1</v>
      </c>
      <c r="J193" s="14">
        <v>0.1</v>
      </c>
      <c r="K193">
        <f>VLOOKUP(A193,[1]dataset_2!B:H,2,FALSE)</f>
        <v>9.0899999999999995E-2</v>
      </c>
      <c r="L193">
        <f>VLOOKUP(A193,[1]dataset_2!B:H,3,FALSE)</f>
        <v>0.49</v>
      </c>
      <c r="M193">
        <f>VLOOKUP(A193,[1]dataset_2!B:H,4,FALSE)</f>
        <v>0.28360000000000002</v>
      </c>
      <c r="N193">
        <f>VLOOKUP(A193,[1]dataset_2!B:H,5,FALSE)</f>
        <v>0</v>
      </c>
      <c r="O193">
        <f>VLOOKUP(A193,[1]dataset_2!B:H,6,FALSE)</f>
        <v>1</v>
      </c>
      <c r="P193">
        <f>VLOOKUP(A193,[1]dataset_2!B:H,7,FALSE)</f>
        <v>1</v>
      </c>
      <c r="Q193" t="str">
        <f t="shared" si="6"/>
        <v>Weekend</v>
      </c>
      <c r="R193" t="str">
        <f t="shared" si="7"/>
        <v>Morning</v>
      </c>
      <c r="S193" t="str">
        <f t="shared" si="8"/>
        <v>Low</v>
      </c>
    </row>
    <row r="194" spans="1:19">
      <c r="A194" s="14">
        <v>193</v>
      </c>
      <c r="B194" s="15">
        <v>40552</v>
      </c>
      <c r="C194" s="14">
        <v>1</v>
      </c>
      <c r="D194" s="14">
        <v>0</v>
      </c>
      <c r="E194" s="14">
        <v>1</v>
      </c>
      <c r="F194" s="14">
        <v>7</v>
      </c>
      <c r="G194" s="14" t="b">
        <v>0</v>
      </c>
      <c r="H194" s="14">
        <v>0</v>
      </c>
      <c r="I194" s="14">
        <v>1</v>
      </c>
      <c r="J194" s="14">
        <v>0.08</v>
      </c>
      <c r="K194">
        <f>VLOOKUP(A194,[1]dataset_2!B:H,2,FALSE)</f>
        <v>9.0899999999999995E-2</v>
      </c>
      <c r="L194">
        <f>VLOOKUP(A194,[1]dataset_2!B:H,3,FALSE)</f>
        <v>0.53</v>
      </c>
      <c r="M194">
        <f>VLOOKUP(A194,[1]dataset_2!B:H,4,FALSE)</f>
        <v>0.19400000000000001</v>
      </c>
      <c r="N194">
        <f>VLOOKUP(A194,[1]dataset_2!B:H,5,FALSE)</f>
        <v>1</v>
      </c>
      <c r="O194">
        <f>VLOOKUP(A194,[1]dataset_2!B:H,6,FALSE)</f>
        <v>5</v>
      </c>
      <c r="P194">
        <f>VLOOKUP(A194,[1]dataset_2!B:H,7,FALSE)</f>
        <v>6</v>
      </c>
      <c r="Q194" t="str">
        <f t="shared" si="6"/>
        <v>Weekend</v>
      </c>
      <c r="R194" t="str">
        <f t="shared" si="7"/>
        <v>Morning</v>
      </c>
      <c r="S194" t="str">
        <f t="shared" si="8"/>
        <v>Low</v>
      </c>
    </row>
    <row r="195" spans="1:19">
      <c r="A195" s="14">
        <v>194</v>
      </c>
      <c r="B195" s="15">
        <v>40552</v>
      </c>
      <c r="C195" s="14">
        <v>1</v>
      </c>
      <c r="D195" s="14">
        <v>0</v>
      </c>
      <c r="E195" s="14">
        <v>1</v>
      </c>
      <c r="F195" s="14">
        <v>8</v>
      </c>
      <c r="G195" s="14" t="b">
        <v>0</v>
      </c>
      <c r="H195" s="14">
        <v>0</v>
      </c>
      <c r="I195" s="14">
        <v>1</v>
      </c>
      <c r="J195" s="14">
        <v>0.1</v>
      </c>
      <c r="K195">
        <f>VLOOKUP(A195,[1]dataset_2!B:H,2,FALSE)</f>
        <v>9.0899999999999995E-2</v>
      </c>
      <c r="L195">
        <f>VLOOKUP(A195,[1]dataset_2!B:H,3,FALSE)</f>
        <v>0.49</v>
      </c>
      <c r="M195">
        <f>VLOOKUP(A195,[1]dataset_2!B:H,4,FALSE)</f>
        <v>0.28360000000000002</v>
      </c>
      <c r="N195">
        <f>VLOOKUP(A195,[1]dataset_2!B:H,5,FALSE)</f>
        <v>0</v>
      </c>
      <c r="O195">
        <f>VLOOKUP(A195,[1]dataset_2!B:H,6,FALSE)</f>
        <v>10</v>
      </c>
      <c r="P195">
        <f>VLOOKUP(A195,[1]dataset_2!B:H,7,FALSE)</f>
        <v>10</v>
      </c>
      <c r="Q195" t="str">
        <f t="shared" ref="Q195:Q258" si="9">IF(OR(H195=0,H195=6),"Weekend","Weekday")</f>
        <v>Weekend</v>
      </c>
      <c r="R195" t="str">
        <f t="shared" ref="R195:R258" si="10">IF(F195&lt;12,"Morning",IF(F195&lt;18,"Afternoon","Evening"))</f>
        <v>Morning</v>
      </c>
      <c r="S195" t="str">
        <f t="shared" ref="S195:S258" si="11">IF(P195&gt;100,"High","Low")</f>
        <v>Low</v>
      </c>
    </row>
    <row r="196" spans="1:19">
      <c r="A196" s="14">
        <v>195</v>
      </c>
      <c r="B196" s="15">
        <v>40552</v>
      </c>
      <c r="C196" s="14">
        <v>1</v>
      </c>
      <c r="D196" s="14">
        <v>0</v>
      </c>
      <c r="E196" s="14">
        <v>1</v>
      </c>
      <c r="F196" s="14">
        <v>9</v>
      </c>
      <c r="G196" s="14" t="b">
        <v>0</v>
      </c>
      <c r="H196" s="14">
        <v>0</v>
      </c>
      <c r="I196" s="14">
        <v>1</v>
      </c>
      <c r="J196" s="14">
        <v>0.12</v>
      </c>
      <c r="K196">
        <f>VLOOKUP(A196,[1]dataset_2!B:H,2,FALSE)</f>
        <v>7.5800000000000006E-2</v>
      </c>
      <c r="L196">
        <f>VLOOKUP(A196,[1]dataset_2!B:H,3,FALSE)</f>
        <v>0.46</v>
      </c>
      <c r="M196">
        <f>VLOOKUP(A196,[1]dataset_2!B:H,4,FALSE)</f>
        <v>0.52239999999999998</v>
      </c>
      <c r="N196">
        <f>VLOOKUP(A196,[1]dataset_2!B:H,5,FALSE)</f>
        <v>0</v>
      </c>
      <c r="O196">
        <f>VLOOKUP(A196,[1]dataset_2!B:H,6,FALSE)</f>
        <v>19</v>
      </c>
      <c r="P196">
        <f>VLOOKUP(A196,[1]dataset_2!B:H,7,FALSE)</f>
        <v>19</v>
      </c>
      <c r="Q196" t="str">
        <f t="shared" si="9"/>
        <v>Weekend</v>
      </c>
      <c r="R196" t="str">
        <f t="shared" si="10"/>
        <v>Morning</v>
      </c>
      <c r="S196" t="str">
        <f t="shared" si="11"/>
        <v>Low</v>
      </c>
    </row>
    <row r="197" spans="1:19">
      <c r="A197" s="14">
        <v>196</v>
      </c>
      <c r="B197" s="15">
        <v>40552</v>
      </c>
      <c r="C197" s="14">
        <v>1</v>
      </c>
      <c r="D197" s="14">
        <v>0</v>
      </c>
      <c r="E197" s="14">
        <v>1</v>
      </c>
      <c r="F197" s="14">
        <v>10</v>
      </c>
      <c r="G197" s="14" t="b">
        <v>0</v>
      </c>
      <c r="H197" s="14">
        <v>0</v>
      </c>
      <c r="I197" s="14">
        <v>1</v>
      </c>
      <c r="J197" s="14">
        <v>0.14000000000000001</v>
      </c>
      <c r="K197">
        <f>VLOOKUP(A197,[1]dataset_2!B:H,2,FALSE)</f>
        <v>0.1061</v>
      </c>
      <c r="L197">
        <f>VLOOKUP(A197,[1]dataset_2!B:H,3,FALSE)</f>
        <v>0.43</v>
      </c>
      <c r="M197">
        <f>VLOOKUP(A197,[1]dataset_2!B:H,4,FALSE)</f>
        <v>0.3881</v>
      </c>
      <c r="N197">
        <f>VLOOKUP(A197,[1]dataset_2!B:H,5,FALSE)</f>
        <v>0</v>
      </c>
      <c r="O197">
        <f>VLOOKUP(A197,[1]dataset_2!B:H,6,FALSE)</f>
        <v>49</v>
      </c>
      <c r="P197">
        <f>VLOOKUP(A197,[1]dataset_2!B:H,7,FALSE)</f>
        <v>49</v>
      </c>
      <c r="Q197" t="str">
        <f t="shared" si="9"/>
        <v>Weekend</v>
      </c>
      <c r="R197" t="str">
        <f t="shared" si="10"/>
        <v>Morning</v>
      </c>
      <c r="S197" t="str">
        <f t="shared" si="11"/>
        <v>Low</v>
      </c>
    </row>
    <row r="198" spans="1:19">
      <c r="A198" s="14">
        <v>197</v>
      </c>
      <c r="B198" s="15">
        <v>40552</v>
      </c>
      <c r="C198" s="14">
        <v>1</v>
      </c>
      <c r="D198" s="14">
        <v>0</v>
      </c>
      <c r="E198" s="14">
        <v>1</v>
      </c>
      <c r="F198" s="14">
        <v>11</v>
      </c>
      <c r="G198" s="14" t="b">
        <v>0</v>
      </c>
      <c r="H198" s="14">
        <v>0</v>
      </c>
      <c r="I198" s="14">
        <v>1</v>
      </c>
      <c r="J198" s="14">
        <v>0.16</v>
      </c>
      <c r="K198">
        <f>VLOOKUP(A198,[1]dataset_2!B:H,2,FALSE)</f>
        <v>0.1212</v>
      </c>
      <c r="L198">
        <f>VLOOKUP(A198,[1]dataset_2!B:H,3,FALSE)</f>
        <v>0.4</v>
      </c>
      <c r="M198">
        <f>VLOOKUP(A198,[1]dataset_2!B:H,4,FALSE)</f>
        <v>0.52239999999999998</v>
      </c>
      <c r="N198">
        <f>VLOOKUP(A198,[1]dataset_2!B:H,5,FALSE)</f>
        <v>2</v>
      </c>
      <c r="O198">
        <f>VLOOKUP(A198,[1]dataset_2!B:H,6,FALSE)</f>
        <v>47</v>
      </c>
      <c r="P198">
        <f>VLOOKUP(A198,[1]dataset_2!B:H,7,FALSE)</f>
        <v>49</v>
      </c>
      <c r="Q198" t="str">
        <f t="shared" si="9"/>
        <v>Weekend</v>
      </c>
      <c r="R198" t="str">
        <f t="shared" si="10"/>
        <v>Morning</v>
      </c>
      <c r="S198" t="str">
        <f t="shared" si="11"/>
        <v>Low</v>
      </c>
    </row>
    <row r="199" spans="1:19">
      <c r="A199" s="14">
        <v>198</v>
      </c>
      <c r="B199" s="15">
        <v>40552</v>
      </c>
      <c r="C199" s="14">
        <v>1</v>
      </c>
      <c r="D199" s="14">
        <v>0</v>
      </c>
      <c r="E199" s="14">
        <v>1</v>
      </c>
      <c r="F199" s="14">
        <v>12</v>
      </c>
      <c r="G199" s="14" t="b">
        <v>0</v>
      </c>
      <c r="H199" s="14">
        <v>0</v>
      </c>
      <c r="I199" s="14">
        <v>1</v>
      </c>
      <c r="J199" s="14">
        <v>0.18</v>
      </c>
      <c r="K199">
        <f>VLOOKUP(A199,[1]dataset_2!B:H,2,FALSE)</f>
        <v>0.13639999999999999</v>
      </c>
      <c r="L199">
        <f>VLOOKUP(A199,[1]dataset_2!B:H,3,FALSE)</f>
        <v>0.37</v>
      </c>
      <c r="M199">
        <f>VLOOKUP(A199,[1]dataset_2!B:H,4,FALSE)</f>
        <v>0.44779999999999998</v>
      </c>
      <c r="N199">
        <f>VLOOKUP(A199,[1]dataset_2!B:H,5,FALSE)</f>
        <v>4</v>
      </c>
      <c r="O199">
        <f>VLOOKUP(A199,[1]dataset_2!B:H,6,FALSE)</f>
        <v>79</v>
      </c>
      <c r="P199">
        <f>VLOOKUP(A199,[1]dataset_2!B:H,7,FALSE)</f>
        <v>83</v>
      </c>
      <c r="Q199" t="str">
        <f t="shared" si="9"/>
        <v>Weekend</v>
      </c>
      <c r="R199" t="str">
        <f t="shared" si="10"/>
        <v>Afternoon</v>
      </c>
      <c r="S199" t="str">
        <f t="shared" si="11"/>
        <v>Low</v>
      </c>
    </row>
    <row r="200" spans="1:19">
      <c r="A200" s="14">
        <v>199</v>
      </c>
      <c r="B200" s="15">
        <v>40552</v>
      </c>
      <c r="C200" s="14">
        <v>1</v>
      </c>
      <c r="D200" s="14">
        <v>0</v>
      </c>
      <c r="E200" s="14">
        <v>1</v>
      </c>
      <c r="F200" s="14">
        <v>13</v>
      </c>
      <c r="G200" s="14" t="b">
        <v>0</v>
      </c>
      <c r="H200" s="14">
        <v>0</v>
      </c>
      <c r="I200" s="14">
        <v>1</v>
      </c>
      <c r="J200" s="14">
        <v>0.2</v>
      </c>
      <c r="K200">
        <f>VLOOKUP(A200,[1]dataset_2!B:H,2,FALSE)</f>
        <v>0.16669999999999999</v>
      </c>
      <c r="L200">
        <f>VLOOKUP(A200,[1]dataset_2!B:H,3,FALSE)</f>
        <v>0.34</v>
      </c>
      <c r="M200">
        <f>VLOOKUP(A200,[1]dataset_2!B:H,4,FALSE)</f>
        <v>0.44779999999999998</v>
      </c>
      <c r="N200">
        <f>VLOOKUP(A200,[1]dataset_2!B:H,5,FALSE)</f>
        <v>6</v>
      </c>
      <c r="O200">
        <f>VLOOKUP(A200,[1]dataset_2!B:H,6,FALSE)</f>
        <v>69</v>
      </c>
      <c r="P200">
        <f>VLOOKUP(A200,[1]dataset_2!B:H,7,FALSE)</f>
        <v>75</v>
      </c>
      <c r="Q200" t="str">
        <f t="shared" si="9"/>
        <v>Weekend</v>
      </c>
      <c r="R200" t="str">
        <f t="shared" si="10"/>
        <v>Afternoon</v>
      </c>
      <c r="S200" t="str">
        <f t="shared" si="11"/>
        <v>Low</v>
      </c>
    </row>
    <row r="201" spans="1:19">
      <c r="A201" s="14">
        <v>200</v>
      </c>
      <c r="B201" s="15">
        <v>40552</v>
      </c>
      <c r="C201" s="14">
        <v>1</v>
      </c>
      <c r="D201" s="14">
        <v>0</v>
      </c>
      <c r="E201" s="14">
        <v>1</v>
      </c>
      <c r="F201" s="14">
        <v>14</v>
      </c>
      <c r="G201" s="14" t="b">
        <v>0</v>
      </c>
      <c r="H201" s="14">
        <v>0</v>
      </c>
      <c r="I201" s="14">
        <v>1</v>
      </c>
      <c r="J201" s="14">
        <v>0.22</v>
      </c>
      <c r="K201">
        <f>VLOOKUP(A201,[1]dataset_2!B:H,2,FALSE)</f>
        <v>0.18179999999999999</v>
      </c>
      <c r="L201">
        <f>VLOOKUP(A201,[1]dataset_2!B:H,3,FALSE)</f>
        <v>0.32</v>
      </c>
      <c r="M201">
        <f>VLOOKUP(A201,[1]dataset_2!B:H,4,FALSE)</f>
        <v>0.4627</v>
      </c>
      <c r="N201">
        <f>VLOOKUP(A201,[1]dataset_2!B:H,5,FALSE)</f>
        <v>8</v>
      </c>
      <c r="O201">
        <f>VLOOKUP(A201,[1]dataset_2!B:H,6,FALSE)</f>
        <v>64</v>
      </c>
      <c r="P201">
        <f>VLOOKUP(A201,[1]dataset_2!B:H,7,FALSE)</f>
        <v>72</v>
      </c>
      <c r="Q201" t="str">
        <f t="shared" si="9"/>
        <v>Weekend</v>
      </c>
      <c r="R201" t="str">
        <f t="shared" si="10"/>
        <v>Afternoon</v>
      </c>
      <c r="S201" t="str">
        <f t="shared" si="11"/>
        <v>Low</v>
      </c>
    </row>
    <row r="202" spans="1:19">
      <c r="A202" s="14">
        <v>201</v>
      </c>
      <c r="B202" s="15">
        <v>40552</v>
      </c>
      <c r="C202" s="14">
        <v>1</v>
      </c>
      <c r="D202" s="14">
        <v>0</v>
      </c>
      <c r="E202" s="14">
        <v>1</v>
      </c>
      <c r="F202" s="14">
        <v>15</v>
      </c>
      <c r="G202" s="14" t="b">
        <v>0</v>
      </c>
      <c r="H202" s="14">
        <v>0</v>
      </c>
      <c r="I202" s="14">
        <v>1</v>
      </c>
      <c r="J202" s="14">
        <v>0.22</v>
      </c>
      <c r="K202">
        <f>VLOOKUP(A202,[1]dataset_2!B:H,2,FALSE)</f>
        <v>0.19700000000000001</v>
      </c>
      <c r="L202">
        <f>VLOOKUP(A202,[1]dataset_2!B:H,3,FALSE)</f>
        <v>0.35</v>
      </c>
      <c r="M202">
        <f>VLOOKUP(A202,[1]dataset_2!B:H,4,FALSE)</f>
        <v>0.35820000000000002</v>
      </c>
      <c r="N202">
        <f>VLOOKUP(A202,[1]dataset_2!B:H,5,FALSE)</f>
        <v>5</v>
      </c>
      <c r="O202">
        <f>VLOOKUP(A202,[1]dataset_2!B:H,6,FALSE)</f>
        <v>77</v>
      </c>
      <c r="P202">
        <f>VLOOKUP(A202,[1]dataset_2!B:H,7,FALSE)</f>
        <v>82</v>
      </c>
      <c r="Q202" t="str">
        <f t="shared" si="9"/>
        <v>Weekend</v>
      </c>
      <c r="R202" t="str">
        <f t="shared" si="10"/>
        <v>Afternoon</v>
      </c>
      <c r="S202" t="str">
        <f t="shared" si="11"/>
        <v>Low</v>
      </c>
    </row>
    <row r="203" spans="1:19">
      <c r="A203" s="14">
        <v>202</v>
      </c>
      <c r="B203" s="15">
        <v>40552</v>
      </c>
      <c r="C203" s="14">
        <v>1</v>
      </c>
      <c r="D203" s="14">
        <v>0</v>
      </c>
      <c r="E203" s="14">
        <v>1</v>
      </c>
      <c r="F203" s="14">
        <v>16</v>
      </c>
      <c r="G203" s="14" t="b">
        <v>0</v>
      </c>
      <c r="H203" s="14">
        <v>0</v>
      </c>
      <c r="I203" s="14">
        <v>1</v>
      </c>
      <c r="J203" s="14">
        <v>0.2</v>
      </c>
      <c r="K203">
        <f>VLOOKUP(A203,[1]dataset_2!B:H,2,FALSE)</f>
        <v>0.16669999999999999</v>
      </c>
      <c r="L203">
        <f>VLOOKUP(A203,[1]dataset_2!B:H,3,FALSE)</f>
        <v>0.34</v>
      </c>
      <c r="M203">
        <f>VLOOKUP(A203,[1]dataset_2!B:H,4,FALSE)</f>
        <v>0.44779999999999998</v>
      </c>
      <c r="N203">
        <f>VLOOKUP(A203,[1]dataset_2!B:H,5,FALSE)</f>
        <v>13</v>
      </c>
      <c r="O203">
        <f>VLOOKUP(A203,[1]dataset_2!B:H,6,FALSE)</f>
        <v>79</v>
      </c>
      <c r="P203">
        <f>VLOOKUP(A203,[1]dataset_2!B:H,7,FALSE)</f>
        <v>92</v>
      </c>
      <c r="Q203" t="str">
        <f t="shared" si="9"/>
        <v>Weekend</v>
      </c>
      <c r="R203" t="str">
        <f t="shared" si="10"/>
        <v>Afternoon</v>
      </c>
      <c r="S203" t="str">
        <f t="shared" si="11"/>
        <v>Low</v>
      </c>
    </row>
    <row r="204" spans="1:19">
      <c r="A204" s="14">
        <v>203</v>
      </c>
      <c r="B204" s="15">
        <v>40552</v>
      </c>
      <c r="C204" s="14">
        <v>1</v>
      </c>
      <c r="D204" s="14">
        <v>0</v>
      </c>
      <c r="E204" s="14">
        <v>1</v>
      </c>
      <c r="F204" s="14">
        <v>17</v>
      </c>
      <c r="G204" s="14" t="b">
        <v>0</v>
      </c>
      <c r="H204" s="14">
        <v>0</v>
      </c>
      <c r="I204" s="14">
        <v>1</v>
      </c>
      <c r="J204" s="14">
        <v>0.18</v>
      </c>
      <c r="K204">
        <f>VLOOKUP(A204,[1]dataset_2!B:H,2,FALSE)</f>
        <v>0.1515</v>
      </c>
      <c r="L204">
        <f>VLOOKUP(A204,[1]dataset_2!B:H,3,FALSE)</f>
        <v>0.37</v>
      </c>
      <c r="M204">
        <f>VLOOKUP(A204,[1]dataset_2!B:H,4,FALSE)</f>
        <v>0.3881</v>
      </c>
      <c r="N204">
        <f>VLOOKUP(A204,[1]dataset_2!B:H,5,FALSE)</f>
        <v>3</v>
      </c>
      <c r="O204">
        <f>VLOOKUP(A204,[1]dataset_2!B:H,6,FALSE)</f>
        <v>59</v>
      </c>
      <c r="P204">
        <f>VLOOKUP(A204,[1]dataset_2!B:H,7,FALSE)</f>
        <v>62</v>
      </c>
      <c r="Q204" t="str">
        <f t="shared" si="9"/>
        <v>Weekend</v>
      </c>
      <c r="R204" t="str">
        <f t="shared" si="10"/>
        <v>Afternoon</v>
      </c>
      <c r="S204" t="str">
        <f t="shared" si="11"/>
        <v>Low</v>
      </c>
    </row>
    <row r="205" spans="1:19">
      <c r="A205" s="14">
        <v>204</v>
      </c>
      <c r="B205" s="15">
        <v>40552</v>
      </c>
      <c r="C205" s="14">
        <v>1</v>
      </c>
      <c r="D205" s="14">
        <v>0</v>
      </c>
      <c r="E205" s="14">
        <v>1</v>
      </c>
      <c r="F205" s="14">
        <v>18</v>
      </c>
      <c r="G205" s="14" t="b">
        <v>0</v>
      </c>
      <c r="H205" s="14">
        <v>0</v>
      </c>
      <c r="I205" s="14">
        <v>1</v>
      </c>
      <c r="J205" s="14">
        <v>0.16</v>
      </c>
      <c r="K205">
        <f>VLOOKUP(A205,[1]dataset_2!B:H,2,FALSE)</f>
        <v>0.13639999999999999</v>
      </c>
      <c r="L205">
        <f>VLOOKUP(A205,[1]dataset_2!B:H,3,FALSE)</f>
        <v>0.4</v>
      </c>
      <c r="M205">
        <f>VLOOKUP(A205,[1]dataset_2!B:H,4,FALSE)</f>
        <v>0.32840000000000003</v>
      </c>
      <c r="N205">
        <f>VLOOKUP(A205,[1]dataset_2!B:H,5,FALSE)</f>
        <v>4</v>
      </c>
      <c r="O205">
        <f>VLOOKUP(A205,[1]dataset_2!B:H,6,FALSE)</f>
        <v>44</v>
      </c>
      <c r="P205">
        <f>VLOOKUP(A205,[1]dataset_2!B:H,7,FALSE)</f>
        <v>48</v>
      </c>
      <c r="Q205" t="str">
        <f t="shared" si="9"/>
        <v>Weekend</v>
      </c>
      <c r="R205" t="str">
        <f t="shared" si="10"/>
        <v>Evening</v>
      </c>
      <c r="S205" t="str">
        <f t="shared" si="11"/>
        <v>Low</v>
      </c>
    </row>
    <row r="206" spans="1:19">
      <c r="A206" s="14">
        <v>205</v>
      </c>
      <c r="B206" s="15">
        <v>40552</v>
      </c>
      <c r="C206" s="14">
        <v>1</v>
      </c>
      <c r="D206" s="14">
        <v>0</v>
      </c>
      <c r="E206" s="14">
        <v>1</v>
      </c>
      <c r="F206" s="14">
        <v>19</v>
      </c>
      <c r="G206" s="14" t="b">
        <v>0</v>
      </c>
      <c r="H206" s="14">
        <v>0</v>
      </c>
      <c r="I206" s="14">
        <v>1</v>
      </c>
      <c r="J206" s="14">
        <v>0.16</v>
      </c>
      <c r="K206">
        <f>VLOOKUP(A206,[1]dataset_2!B:H,2,FALSE)</f>
        <v>0.13639999999999999</v>
      </c>
      <c r="L206">
        <f>VLOOKUP(A206,[1]dataset_2!B:H,3,FALSE)</f>
        <v>0.43</v>
      </c>
      <c r="M206">
        <f>VLOOKUP(A206,[1]dataset_2!B:H,4,FALSE)</f>
        <v>0.32840000000000003</v>
      </c>
      <c r="N206">
        <f>VLOOKUP(A206,[1]dataset_2!B:H,5,FALSE)</f>
        <v>1</v>
      </c>
      <c r="O206">
        <f>VLOOKUP(A206,[1]dataset_2!B:H,6,FALSE)</f>
        <v>40</v>
      </c>
      <c r="P206">
        <f>VLOOKUP(A206,[1]dataset_2!B:H,7,FALSE)</f>
        <v>41</v>
      </c>
      <c r="Q206" t="str">
        <f t="shared" si="9"/>
        <v>Weekend</v>
      </c>
      <c r="R206" t="str">
        <f t="shared" si="10"/>
        <v>Evening</v>
      </c>
      <c r="S206" t="str">
        <f t="shared" si="11"/>
        <v>Low</v>
      </c>
    </row>
    <row r="207" spans="1:19">
      <c r="A207" s="14">
        <v>206</v>
      </c>
      <c r="B207" s="15">
        <v>40552</v>
      </c>
      <c r="C207" s="14">
        <v>1</v>
      </c>
      <c r="D207" s="14">
        <v>0</v>
      </c>
      <c r="E207" s="14">
        <v>1</v>
      </c>
      <c r="F207" s="14">
        <v>20</v>
      </c>
      <c r="G207" s="14" t="b">
        <v>0</v>
      </c>
      <c r="H207" s="14">
        <v>0</v>
      </c>
      <c r="I207" s="14">
        <v>1</v>
      </c>
      <c r="J207" s="14">
        <v>0.14000000000000001</v>
      </c>
      <c r="K207">
        <f>VLOOKUP(A207,[1]dataset_2!B:H,2,FALSE)</f>
        <v>0.1212</v>
      </c>
      <c r="L207">
        <f>VLOOKUP(A207,[1]dataset_2!B:H,3,FALSE)</f>
        <v>0.46</v>
      </c>
      <c r="M207">
        <f>VLOOKUP(A207,[1]dataset_2!B:H,4,FALSE)</f>
        <v>0.25369999999999998</v>
      </c>
      <c r="N207">
        <f>VLOOKUP(A207,[1]dataset_2!B:H,5,FALSE)</f>
        <v>0</v>
      </c>
      <c r="O207">
        <f>VLOOKUP(A207,[1]dataset_2!B:H,6,FALSE)</f>
        <v>38</v>
      </c>
      <c r="P207">
        <f>VLOOKUP(A207,[1]dataset_2!B:H,7,FALSE)</f>
        <v>38</v>
      </c>
      <c r="Q207" t="str">
        <f t="shared" si="9"/>
        <v>Weekend</v>
      </c>
      <c r="R207" t="str">
        <f t="shared" si="10"/>
        <v>Evening</v>
      </c>
      <c r="S207" t="str">
        <f t="shared" si="11"/>
        <v>Low</v>
      </c>
    </row>
    <row r="208" spans="1:19">
      <c r="A208" s="14">
        <v>207</v>
      </c>
      <c r="B208" s="15">
        <v>40552</v>
      </c>
      <c r="C208" s="14">
        <v>1</v>
      </c>
      <c r="D208" s="14">
        <v>0</v>
      </c>
      <c r="E208" s="14">
        <v>1</v>
      </c>
      <c r="F208" s="14">
        <v>21</v>
      </c>
      <c r="G208" s="14" t="b">
        <v>0</v>
      </c>
      <c r="H208" s="14">
        <v>0</v>
      </c>
      <c r="I208" s="14">
        <v>1</v>
      </c>
      <c r="J208" s="14">
        <v>0.14000000000000001</v>
      </c>
      <c r="K208">
        <f>VLOOKUP(A208,[1]dataset_2!B:H,2,FALSE)</f>
        <v>0.1061</v>
      </c>
      <c r="L208">
        <f>VLOOKUP(A208,[1]dataset_2!B:H,3,FALSE)</f>
        <v>0.46</v>
      </c>
      <c r="M208">
        <f>VLOOKUP(A208,[1]dataset_2!B:H,4,FALSE)</f>
        <v>0.41789999999999999</v>
      </c>
      <c r="N208">
        <f>VLOOKUP(A208,[1]dataset_2!B:H,5,FALSE)</f>
        <v>1</v>
      </c>
      <c r="O208">
        <f>VLOOKUP(A208,[1]dataset_2!B:H,6,FALSE)</f>
        <v>19</v>
      </c>
      <c r="P208">
        <f>VLOOKUP(A208,[1]dataset_2!B:H,7,FALSE)</f>
        <v>20</v>
      </c>
      <c r="Q208" t="str">
        <f t="shared" si="9"/>
        <v>Weekend</v>
      </c>
      <c r="R208" t="str">
        <f t="shared" si="10"/>
        <v>Evening</v>
      </c>
      <c r="S208" t="str">
        <f t="shared" si="11"/>
        <v>Low</v>
      </c>
    </row>
    <row r="209" spans="1:19">
      <c r="A209" s="14">
        <v>208</v>
      </c>
      <c r="B209" s="15">
        <v>40552</v>
      </c>
      <c r="C209" s="14">
        <v>1</v>
      </c>
      <c r="D209" s="14">
        <v>0</v>
      </c>
      <c r="E209" s="14">
        <v>1</v>
      </c>
      <c r="F209" s="14">
        <v>22</v>
      </c>
      <c r="G209" s="14" t="b">
        <v>0</v>
      </c>
      <c r="H209" s="14">
        <v>0</v>
      </c>
      <c r="I209" s="14">
        <v>1</v>
      </c>
      <c r="J209" s="14">
        <v>0.14000000000000001</v>
      </c>
      <c r="K209">
        <f>VLOOKUP(A209,[1]dataset_2!B:H,2,FALSE)</f>
        <v>0.1212</v>
      </c>
      <c r="L209">
        <f>VLOOKUP(A209,[1]dataset_2!B:H,3,FALSE)</f>
        <v>0.46</v>
      </c>
      <c r="M209">
        <f>VLOOKUP(A209,[1]dataset_2!B:H,4,FALSE)</f>
        <v>0.29849999999999999</v>
      </c>
      <c r="N209">
        <f>VLOOKUP(A209,[1]dataset_2!B:H,5,FALSE)</f>
        <v>5</v>
      </c>
      <c r="O209">
        <f>VLOOKUP(A209,[1]dataset_2!B:H,6,FALSE)</f>
        <v>10</v>
      </c>
      <c r="P209">
        <f>VLOOKUP(A209,[1]dataset_2!B:H,7,FALSE)</f>
        <v>15</v>
      </c>
      <c r="Q209" t="str">
        <f t="shared" si="9"/>
        <v>Weekend</v>
      </c>
      <c r="R209" t="str">
        <f t="shared" si="10"/>
        <v>Evening</v>
      </c>
      <c r="S209" t="str">
        <f t="shared" si="11"/>
        <v>Low</v>
      </c>
    </row>
    <row r="210" spans="1:19">
      <c r="A210" s="14">
        <v>209</v>
      </c>
      <c r="B210" s="15">
        <v>40552</v>
      </c>
      <c r="C210" s="14">
        <v>1</v>
      </c>
      <c r="D210" s="14">
        <v>0</v>
      </c>
      <c r="E210" s="14">
        <v>1</v>
      </c>
      <c r="F210" s="14">
        <v>23</v>
      </c>
      <c r="G210" s="14" t="b">
        <v>0</v>
      </c>
      <c r="H210" s="14">
        <v>0</v>
      </c>
      <c r="I210" s="14">
        <v>1</v>
      </c>
      <c r="J210" s="14">
        <v>0.12</v>
      </c>
      <c r="K210">
        <f>VLOOKUP(A210,[1]dataset_2!B:H,2,FALSE)</f>
        <v>0.13639999999999999</v>
      </c>
      <c r="L210">
        <f>VLOOKUP(A210,[1]dataset_2!B:H,3,FALSE)</f>
        <v>0.5</v>
      </c>
      <c r="M210">
        <f>VLOOKUP(A210,[1]dataset_2!B:H,4,FALSE)</f>
        <v>0.19400000000000001</v>
      </c>
      <c r="N210">
        <f>VLOOKUP(A210,[1]dataset_2!B:H,5,FALSE)</f>
        <v>0</v>
      </c>
      <c r="O210">
        <f>VLOOKUP(A210,[1]dataset_2!B:H,6,FALSE)</f>
        <v>6</v>
      </c>
      <c r="P210">
        <f>VLOOKUP(A210,[1]dataset_2!B:H,7,FALSE)</f>
        <v>6</v>
      </c>
      <c r="Q210" t="str">
        <f t="shared" si="9"/>
        <v>Weekend</v>
      </c>
      <c r="R210" t="str">
        <f t="shared" si="10"/>
        <v>Evening</v>
      </c>
      <c r="S210" t="str">
        <f t="shared" si="11"/>
        <v>Low</v>
      </c>
    </row>
    <row r="211" spans="1:19">
      <c r="A211" s="14">
        <v>210</v>
      </c>
      <c r="B211" s="15">
        <v>40553</v>
      </c>
      <c r="C211" s="14">
        <v>1</v>
      </c>
      <c r="D211" s="14">
        <v>0</v>
      </c>
      <c r="E211" s="14">
        <v>1</v>
      </c>
      <c r="F211" s="14">
        <v>0</v>
      </c>
      <c r="G211" s="14" t="b">
        <v>0</v>
      </c>
      <c r="H211" s="14">
        <v>1</v>
      </c>
      <c r="I211" s="14">
        <v>1</v>
      </c>
      <c r="J211" s="14">
        <v>0.12</v>
      </c>
      <c r="K211">
        <f>VLOOKUP(A211,[1]dataset_2!B:H,2,FALSE)</f>
        <v>0.1212</v>
      </c>
      <c r="L211">
        <f>VLOOKUP(A211,[1]dataset_2!B:H,3,FALSE)</f>
        <v>0.5</v>
      </c>
      <c r="M211">
        <f>VLOOKUP(A211,[1]dataset_2!B:H,4,FALSE)</f>
        <v>0.28360000000000002</v>
      </c>
      <c r="N211">
        <f>VLOOKUP(A211,[1]dataset_2!B:H,5,FALSE)</f>
        <v>2</v>
      </c>
      <c r="O211">
        <f>VLOOKUP(A211,[1]dataset_2!B:H,6,FALSE)</f>
        <v>3</v>
      </c>
      <c r="P211">
        <f>VLOOKUP(A211,[1]dataset_2!B:H,7,FALSE)</f>
        <v>5</v>
      </c>
      <c r="Q211" t="str">
        <f t="shared" si="9"/>
        <v>Weekday</v>
      </c>
      <c r="R211" t="str">
        <f t="shared" si="10"/>
        <v>Morning</v>
      </c>
      <c r="S211" t="str">
        <f t="shared" si="11"/>
        <v>Low</v>
      </c>
    </row>
    <row r="212" spans="1:19">
      <c r="A212" s="14">
        <v>211</v>
      </c>
      <c r="B212" s="15">
        <v>40553</v>
      </c>
      <c r="C212" s="14">
        <v>1</v>
      </c>
      <c r="D212" s="14">
        <v>0</v>
      </c>
      <c r="E212" s="14">
        <v>1</v>
      </c>
      <c r="F212" s="14">
        <v>1</v>
      </c>
      <c r="G212" s="14" t="b">
        <v>0</v>
      </c>
      <c r="H212" s="14">
        <v>1</v>
      </c>
      <c r="I212" s="14">
        <v>1</v>
      </c>
      <c r="J212" s="14">
        <v>0.12</v>
      </c>
      <c r="K212">
        <f>VLOOKUP(A212,[1]dataset_2!B:H,2,FALSE)</f>
        <v>0.1212</v>
      </c>
      <c r="L212">
        <f>VLOOKUP(A212,[1]dataset_2!B:H,3,FALSE)</f>
        <v>0.5</v>
      </c>
      <c r="M212">
        <f>VLOOKUP(A212,[1]dataset_2!B:H,4,FALSE)</f>
        <v>0.28360000000000002</v>
      </c>
      <c r="N212">
        <f>VLOOKUP(A212,[1]dataset_2!B:H,5,FALSE)</f>
        <v>1</v>
      </c>
      <c r="O212">
        <f>VLOOKUP(A212,[1]dataset_2!B:H,6,FALSE)</f>
        <v>0</v>
      </c>
      <c r="P212">
        <f>VLOOKUP(A212,[1]dataset_2!B:H,7,FALSE)</f>
        <v>1</v>
      </c>
      <c r="Q212" t="str">
        <f t="shared" si="9"/>
        <v>Weekday</v>
      </c>
      <c r="R212" t="str">
        <f t="shared" si="10"/>
        <v>Morning</v>
      </c>
      <c r="S212" t="str">
        <f t="shared" si="11"/>
        <v>Low</v>
      </c>
    </row>
    <row r="213" spans="1:19">
      <c r="A213" s="14">
        <v>212</v>
      </c>
      <c r="B213" s="15">
        <v>40553</v>
      </c>
      <c r="C213" s="14">
        <v>1</v>
      </c>
      <c r="D213" s="14">
        <v>0</v>
      </c>
      <c r="E213" s="14">
        <v>1</v>
      </c>
      <c r="F213" s="14">
        <v>2</v>
      </c>
      <c r="G213" s="14" t="b">
        <v>0</v>
      </c>
      <c r="H213" s="14">
        <v>1</v>
      </c>
      <c r="I213" s="14">
        <v>1</v>
      </c>
      <c r="J213" s="14">
        <v>0.12</v>
      </c>
      <c r="K213">
        <f>VLOOKUP(A213,[1]dataset_2!B:H,2,FALSE)</f>
        <v>0.1212</v>
      </c>
      <c r="L213">
        <f>VLOOKUP(A213,[1]dataset_2!B:H,3,FALSE)</f>
        <v>0.5</v>
      </c>
      <c r="M213">
        <f>VLOOKUP(A213,[1]dataset_2!B:H,4,FALSE)</f>
        <v>0.22389999999999999</v>
      </c>
      <c r="N213">
        <f>VLOOKUP(A213,[1]dataset_2!B:H,5,FALSE)</f>
        <v>0</v>
      </c>
      <c r="O213">
        <f>VLOOKUP(A213,[1]dataset_2!B:H,6,FALSE)</f>
        <v>3</v>
      </c>
      <c r="P213">
        <f>VLOOKUP(A213,[1]dataset_2!B:H,7,FALSE)</f>
        <v>3</v>
      </c>
      <c r="Q213" t="str">
        <f t="shared" si="9"/>
        <v>Weekday</v>
      </c>
      <c r="R213" t="str">
        <f t="shared" si="10"/>
        <v>Morning</v>
      </c>
      <c r="S213" t="str">
        <f t="shared" si="11"/>
        <v>Low</v>
      </c>
    </row>
    <row r="214" spans="1:19">
      <c r="A214" s="14">
        <v>213</v>
      </c>
      <c r="B214" s="15">
        <v>40553</v>
      </c>
      <c r="C214" s="14">
        <v>1</v>
      </c>
      <c r="D214" s="14">
        <v>0</v>
      </c>
      <c r="E214" s="14">
        <v>1</v>
      </c>
      <c r="F214" s="14">
        <v>3</v>
      </c>
      <c r="G214" s="14" t="b">
        <v>0</v>
      </c>
      <c r="H214" s="14">
        <v>1</v>
      </c>
      <c r="I214" s="14">
        <v>1</v>
      </c>
      <c r="J214" s="14">
        <v>0.12</v>
      </c>
      <c r="K214">
        <f>VLOOKUP(A214,[1]dataset_2!B:H,2,FALSE)</f>
        <v>0.1212</v>
      </c>
      <c r="L214">
        <f>VLOOKUP(A214,[1]dataset_2!B:H,3,FALSE)</f>
        <v>0.5</v>
      </c>
      <c r="M214">
        <f>VLOOKUP(A214,[1]dataset_2!B:H,4,FALSE)</f>
        <v>0.22389999999999999</v>
      </c>
      <c r="N214">
        <f>VLOOKUP(A214,[1]dataset_2!B:H,5,FALSE)</f>
        <v>0</v>
      </c>
      <c r="O214">
        <f>VLOOKUP(A214,[1]dataset_2!B:H,6,FALSE)</f>
        <v>1</v>
      </c>
      <c r="P214">
        <f>VLOOKUP(A214,[1]dataset_2!B:H,7,FALSE)</f>
        <v>1</v>
      </c>
      <c r="Q214" t="str">
        <f t="shared" si="9"/>
        <v>Weekday</v>
      </c>
      <c r="R214" t="str">
        <f t="shared" si="10"/>
        <v>Morning</v>
      </c>
      <c r="S214" t="str">
        <f t="shared" si="11"/>
        <v>Low</v>
      </c>
    </row>
    <row r="215" spans="1:19">
      <c r="A215" s="14">
        <v>214</v>
      </c>
      <c r="B215" s="15">
        <v>40553</v>
      </c>
      <c r="C215" s="14">
        <v>1</v>
      </c>
      <c r="D215" s="14">
        <v>0</v>
      </c>
      <c r="E215" s="14">
        <v>1</v>
      </c>
      <c r="F215" s="14">
        <v>4</v>
      </c>
      <c r="G215" s="14" t="b">
        <v>0</v>
      </c>
      <c r="H215" s="14">
        <v>1</v>
      </c>
      <c r="I215" s="14">
        <v>1</v>
      </c>
      <c r="J215" s="14">
        <v>0.1</v>
      </c>
      <c r="K215">
        <f>VLOOKUP(A215,[1]dataset_2!B:H,2,FALSE)</f>
        <v>0.1212</v>
      </c>
      <c r="L215">
        <f>VLOOKUP(A215,[1]dataset_2!B:H,3,FALSE)</f>
        <v>0.54</v>
      </c>
      <c r="M215">
        <f>VLOOKUP(A215,[1]dataset_2!B:H,4,FALSE)</f>
        <v>0.1343</v>
      </c>
      <c r="N215">
        <f>VLOOKUP(A215,[1]dataset_2!B:H,5,FALSE)</f>
        <v>1</v>
      </c>
      <c r="O215">
        <f>VLOOKUP(A215,[1]dataset_2!B:H,6,FALSE)</f>
        <v>2</v>
      </c>
      <c r="P215">
        <f>VLOOKUP(A215,[1]dataset_2!B:H,7,FALSE)</f>
        <v>3</v>
      </c>
      <c r="Q215" t="str">
        <f t="shared" si="9"/>
        <v>Weekday</v>
      </c>
      <c r="R215" t="str">
        <f t="shared" si="10"/>
        <v>Morning</v>
      </c>
      <c r="S215" t="str">
        <f t="shared" si="11"/>
        <v>Low</v>
      </c>
    </row>
    <row r="216" spans="1:19">
      <c r="A216" s="14">
        <v>215</v>
      </c>
      <c r="B216" s="15">
        <v>40553</v>
      </c>
      <c r="C216" s="14">
        <v>1</v>
      </c>
      <c r="D216" s="14">
        <v>0</v>
      </c>
      <c r="E216" s="14">
        <v>1</v>
      </c>
      <c r="F216" s="14">
        <v>5</v>
      </c>
      <c r="G216" s="14" t="b">
        <v>0</v>
      </c>
      <c r="H216" s="14">
        <v>1</v>
      </c>
      <c r="I216" s="14">
        <v>1</v>
      </c>
      <c r="J216" s="14">
        <v>0.1</v>
      </c>
      <c r="K216">
        <f>VLOOKUP(A216,[1]dataset_2!B:H,2,FALSE)</f>
        <v>0.1061</v>
      </c>
      <c r="L216">
        <f>VLOOKUP(A216,[1]dataset_2!B:H,3,FALSE)</f>
        <v>0.54</v>
      </c>
      <c r="M216">
        <f>VLOOKUP(A216,[1]dataset_2!B:H,4,FALSE)</f>
        <v>0.25369999999999998</v>
      </c>
      <c r="N216">
        <f>VLOOKUP(A216,[1]dataset_2!B:H,5,FALSE)</f>
        <v>0</v>
      </c>
      <c r="O216">
        <f>VLOOKUP(A216,[1]dataset_2!B:H,6,FALSE)</f>
        <v>3</v>
      </c>
      <c r="P216">
        <f>VLOOKUP(A216,[1]dataset_2!B:H,7,FALSE)</f>
        <v>3</v>
      </c>
      <c r="Q216" t="str">
        <f t="shared" si="9"/>
        <v>Weekday</v>
      </c>
      <c r="R216" t="str">
        <f t="shared" si="10"/>
        <v>Morning</v>
      </c>
      <c r="S216" t="str">
        <f t="shared" si="11"/>
        <v>Low</v>
      </c>
    </row>
    <row r="217" spans="1:19">
      <c r="A217" s="14">
        <v>216</v>
      </c>
      <c r="B217" s="15">
        <v>40553</v>
      </c>
      <c r="C217" s="14">
        <v>1</v>
      </c>
      <c r="D217" s="14">
        <v>0</v>
      </c>
      <c r="E217" s="14">
        <v>1</v>
      </c>
      <c r="F217" s="14">
        <v>6</v>
      </c>
      <c r="G217" s="14" t="b">
        <v>0</v>
      </c>
      <c r="H217" s="14">
        <v>1</v>
      </c>
      <c r="I217" s="14">
        <v>1</v>
      </c>
      <c r="J217" s="14">
        <v>0.12</v>
      </c>
      <c r="K217">
        <f>VLOOKUP(A217,[1]dataset_2!B:H,2,FALSE)</f>
        <v>0.1212</v>
      </c>
      <c r="L217">
        <f>VLOOKUP(A217,[1]dataset_2!B:H,3,FALSE)</f>
        <v>0.5</v>
      </c>
      <c r="M217">
        <f>VLOOKUP(A217,[1]dataset_2!B:H,4,FALSE)</f>
        <v>0.28360000000000002</v>
      </c>
      <c r="N217">
        <f>VLOOKUP(A217,[1]dataset_2!B:H,5,FALSE)</f>
        <v>0</v>
      </c>
      <c r="O217">
        <f>VLOOKUP(A217,[1]dataset_2!B:H,6,FALSE)</f>
        <v>31</v>
      </c>
      <c r="P217">
        <f>VLOOKUP(A217,[1]dataset_2!B:H,7,FALSE)</f>
        <v>31</v>
      </c>
      <c r="Q217" t="str">
        <f t="shared" si="9"/>
        <v>Weekday</v>
      </c>
      <c r="R217" t="str">
        <f t="shared" si="10"/>
        <v>Morning</v>
      </c>
      <c r="S217" t="str">
        <f t="shared" si="11"/>
        <v>Low</v>
      </c>
    </row>
    <row r="218" spans="1:19">
      <c r="A218" s="14">
        <v>217</v>
      </c>
      <c r="B218" s="15">
        <v>40553</v>
      </c>
      <c r="C218" s="14">
        <v>1</v>
      </c>
      <c r="D218" s="14">
        <v>0</v>
      </c>
      <c r="E218" s="14">
        <v>1</v>
      </c>
      <c r="F218" s="14">
        <v>7</v>
      </c>
      <c r="G218" s="14" t="b">
        <v>0</v>
      </c>
      <c r="H218" s="14">
        <v>1</v>
      </c>
      <c r="I218" s="14">
        <v>1</v>
      </c>
      <c r="J218" s="14">
        <v>0.12</v>
      </c>
      <c r="K218">
        <f>VLOOKUP(A218,[1]dataset_2!B:H,2,FALSE)</f>
        <v>0.1212</v>
      </c>
      <c r="L218">
        <f>VLOOKUP(A218,[1]dataset_2!B:H,3,FALSE)</f>
        <v>0.5</v>
      </c>
      <c r="M218">
        <f>VLOOKUP(A218,[1]dataset_2!B:H,4,FALSE)</f>
        <v>0.22389999999999999</v>
      </c>
      <c r="N218">
        <f>VLOOKUP(A218,[1]dataset_2!B:H,5,FALSE)</f>
        <v>2</v>
      </c>
      <c r="O218">
        <f>VLOOKUP(A218,[1]dataset_2!B:H,6,FALSE)</f>
        <v>75</v>
      </c>
      <c r="P218">
        <f>VLOOKUP(A218,[1]dataset_2!B:H,7,FALSE)</f>
        <v>77</v>
      </c>
      <c r="Q218" t="str">
        <f t="shared" si="9"/>
        <v>Weekday</v>
      </c>
      <c r="R218" t="str">
        <f t="shared" si="10"/>
        <v>Morning</v>
      </c>
      <c r="S218" t="str">
        <f t="shared" si="11"/>
        <v>Low</v>
      </c>
    </row>
    <row r="219" spans="1:19">
      <c r="A219" s="14">
        <v>218</v>
      </c>
      <c r="B219" s="15">
        <v>40553</v>
      </c>
      <c r="C219" s="14">
        <v>1</v>
      </c>
      <c r="D219" s="14">
        <v>0</v>
      </c>
      <c r="E219" s="14">
        <v>1</v>
      </c>
      <c r="F219" s="14">
        <v>8</v>
      </c>
      <c r="G219" s="14" t="b">
        <v>0</v>
      </c>
      <c r="H219" s="14">
        <v>1</v>
      </c>
      <c r="I219" s="14">
        <v>2</v>
      </c>
      <c r="J219" s="14">
        <v>0.12</v>
      </c>
      <c r="K219">
        <f>VLOOKUP(A219,[1]dataset_2!B:H,2,FALSE)</f>
        <v>0.1212</v>
      </c>
      <c r="L219">
        <f>VLOOKUP(A219,[1]dataset_2!B:H,3,FALSE)</f>
        <v>0.5</v>
      </c>
      <c r="M219">
        <f>VLOOKUP(A219,[1]dataset_2!B:H,4,FALSE)</f>
        <v>0.28360000000000002</v>
      </c>
      <c r="N219">
        <f>VLOOKUP(A219,[1]dataset_2!B:H,5,FALSE)</f>
        <v>4</v>
      </c>
      <c r="O219">
        <f>VLOOKUP(A219,[1]dataset_2!B:H,6,FALSE)</f>
        <v>184</v>
      </c>
      <c r="P219">
        <f>VLOOKUP(A219,[1]dataset_2!B:H,7,FALSE)</f>
        <v>188</v>
      </c>
      <c r="Q219" t="str">
        <f t="shared" si="9"/>
        <v>Weekday</v>
      </c>
      <c r="R219" t="str">
        <f t="shared" si="10"/>
        <v>Morning</v>
      </c>
      <c r="S219" t="str">
        <f t="shared" si="11"/>
        <v>High</v>
      </c>
    </row>
    <row r="220" spans="1:19">
      <c r="A220" s="14">
        <v>219</v>
      </c>
      <c r="B220" s="15">
        <v>40553</v>
      </c>
      <c r="C220" s="14">
        <v>1</v>
      </c>
      <c r="D220" s="14">
        <v>0</v>
      </c>
      <c r="E220" s="14">
        <v>1</v>
      </c>
      <c r="F220" s="14">
        <v>9</v>
      </c>
      <c r="G220" s="14" t="b">
        <v>0</v>
      </c>
      <c r="H220" s="14">
        <v>1</v>
      </c>
      <c r="I220" s="14">
        <v>2</v>
      </c>
      <c r="J220" s="14">
        <v>0.14000000000000001</v>
      </c>
      <c r="K220">
        <f>VLOOKUP(A220,[1]dataset_2!B:H,2,FALSE)</f>
        <v>0.1212</v>
      </c>
      <c r="L220">
        <f>VLOOKUP(A220,[1]dataset_2!B:H,3,FALSE)</f>
        <v>0.5</v>
      </c>
      <c r="M220">
        <f>VLOOKUP(A220,[1]dataset_2!B:H,4,FALSE)</f>
        <v>0.25369999999999998</v>
      </c>
      <c r="N220">
        <f>VLOOKUP(A220,[1]dataset_2!B:H,5,FALSE)</f>
        <v>2</v>
      </c>
      <c r="O220">
        <f>VLOOKUP(A220,[1]dataset_2!B:H,6,FALSE)</f>
        <v>92</v>
      </c>
      <c r="P220">
        <f>VLOOKUP(A220,[1]dataset_2!B:H,7,FALSE)</f>
        <v>94</v>
      </c>
      <c r="Q220" t="str">
        <f t="shared" si="9"/>
        <v>Weekday</v>
      </c>
      <c r="R220" t="str">
        <f t="shared" si="10"/>
        <v>Morning</v>
      </c>
      <c r="S220" t="str">
        <f t="shared" si="11"/>
        <v>Low</v>
      </c>
    </row>
    <row r="221" spans="1:19">
      <c r="A221" s="14">
        <v>220</v>
      </c>
      <c r="B221" s="15">
        <v>40553</v>
      </c>
      <c r="C221" s="14">
        <v>1</v>
      </c>
      <c r="D221" s="14">
        <v>0</v>
      </c>
      <c r="E221" s="14">
        <v>1</v>
      </c>
      <c r="F221" s="14">
        <v>10</v>
      </c>
      <c r="G221" s="14" t="b">
        <v>0</v>
      </c>
      <c r="H221" s="14">
        <v>1</v>
      </c>
      <c r="I221" s="14">
        <v>2</v>
      </c>
      <c r="J221" s="14">
        <v>0.14000000000000001</v>
      </c>
      <c r="K221">
        <f>VLOOKUP(A221,[1]dataset_2!B:H,2,FALSE)</f>
        <v>0.1212</v>
      </c>
      <c r="L221">
        <f>VLOOKUP(A221,[1]dataset_2!B:H,3,FALSE)</f>
        <v>0.5</v>
      </c>
      <c r="M221">
        <f>VLOOKUP(A221,[1]dataset_2!B:H,4,FALSE)</f>
        <v>0.29849999999999999</v>
      </c>
      <c r="N221">
        <f>VLOOKUP(A221,[1]dataset_2!B:H,5,FALSE)</f>
        <v>0</v>
      </c>
      <c r="O221">
        <f>VLOOKUP(A221,[1]dataset_2!B:H,6,FALSE)</f>
        <v>31</v>
      </c>
      <c r="P221">
        <f>VLOOKUP(A221,[1]dataset_2!B:H,7,FALSE)</f>
        <v>31</v>
      </c>
      <c r="Q221" t="str">
        <f t="shared" si="9"/>
        <v>Weekday</v>
      </c>
      <c r="R221" t="str">
        <f t="shared" si="10"/>
        <v>Morning</v>
      </c>
      <c r="S221" t="str">
        <f t="shared" si="11"/>
        <v>Low</v>
      </c>
    </row>
    <row r="222" spans="1:19">
      <c r="A222" s="14">
        <v>221</v>
      </c>
      <c r="B222" s="15">
        <v>40553</v>
      </c>
      <c r="C222" s="14">
        <v>1</v>
      </c>
      <c r="D222" s="14">
        <v>0</v>
      </c>
      <c r="E222" s="14">
        <v>1</v>
      </c>
      <c r="F222" s="14">
        <v>11</v>
      </c>
      <c r="G222" s="14" t="b">
        <v>0</v>
      </c>
      <c r="H222" s="14">
        <v>1</v>
      </c>
      <c r="I222" s="14">
        <v>2</v>
      </c>
      <c r="J222" s="14">
        <v>0.16</v>
      </c>
      <c r="K222">
        <f>VLOOKUP(A222,[1]dataset_2!B:H,2,FALSE)</f>
        <v>0.13639999999999999</v>
      </c>
      <c r="L222">
        <f>VLOOKUP(A222,[1]dataset_2!B:H,3,FALSE)</f>
        <v>0.47</v>
      </c>
      <c r="M222">
        <f>VLOOKUP(A222,[1]dataset_2!B:H,4,FALSE)</f>
        <v>0.28360000000000002</v>
      </c>
      <c r="N222">
        <f>VLOOKUP(A222,[1]dataset_2!B:H,5,FALSE)</f>
        <v>2</v>
      </c>
      <c r="O222">
        <f>VLOOKUP(A222,[1]dataset_2!B:H,6,FALSE)</f>
        <v>28</v>
      </c>
      <c r="P222">
        <f>VLOOKUP(A222,[1]dataset_2!B:H,7,FALSE)</f>
        <v>30</v>
      </c>
      <c r="Q222" t="str">
        <f t="shared" si="9"/>
        <v>Weekday</v>
      </c>
      <c r="R222" t="str">
        <f t="shared" si="10"/>
        <v>Morning</v>
      </c>
      <c r="S222" t="str">
        <f t="shared" si="11"/>
        <v>Low</v>
      </c>
    </row>
    <row r="223" spans="1:19">
      <c r="A223" s="14">
        <v>222</v>
      </c>
      <c r="B223" s="15">
        <v>40553</v>
      </c>
      <c r="C223" s="14">
        <v>1</v>
      </c>
      <c r="D223" s="14">
        <v>0</v>
      </c>
      <c r="E223" s="14">
        <v>1</v>
      </c>
      <c r="F223" s="14">
        <v>12</v>
      </c>
      <c r="G223" s="14" t="b">
        <v>0</v>
      </c>
      <c r="H223" s="14">
        <v>1</v>
      </c>
      <c r="I223" s="14">
        <v>2</v>
      </c>
      <c r="J223" s="14">
        <v>0.2</v>
      </c>
      <c r="K223">
        <f>VLOOKUP(A223,[1]dataset_2!B:H,2,FALSE)</f>
        <v>0.18179999999999999</v>
      </c>
      <c r="L223">
        <f>VLOOKUP(A223,[1]dataset_2!B:H,3,FALSE)</f>
        <v>0.4</v>
      </c>
      <c r="M223">
        <f>VLOOKUP(A223,[1]dataset_2!B:H,4,FALSE)</f>
        <v>0.28360000000000002</v>
      </c>
      <c r="N223">
        <f>VLOOKUP(A223,[1]dataset_2!B:H,5,FALSE)</f>
        <v>5</v>
      </c>
      <c r="O223">
        <f>VLOOKUP(A223,[1]dataset_2!B:H,6,FALSE)</f>
        <v>47</v>
      </c>
      <c r="P223">
        <f>VLOOKUP(A223,[1]dataset_2!B:H,7,FALSE)</f>
        <v>52</v>
      </c>
      <c r="Q223" t="str">
        <f t="shared" si="9"/>
        <v>Weekday</v>
      </c>
      <c r="R223" t="str">
        <f t="shared" si="10"/>
        <v>Afternoon</v>
      </c>
      <c r="S223" t="str">
        <f t="shared" si="11"/>
        <v>Low</v>
      </c>
    </row>
    <row r="224" spans="1:19">
      <c r="A224" s="14">
        <v>223</v>
      </c>
      <c r="B224" s="15">
        <v>40553</v>
      </c>
      <c r="C224" s="14">
        <v>1</v>
      </c>
      <c r="D224" s="14">
        <v>0</v>
      </c>
      <c r="E224" s="14">
        <v>1</v>
      </c>
      <c r="F224" s="14">
        <v>13</v>
      </c>
      <c r="G224" s="14" t="b">
        <v>0</v>
      </c>
      <c r="H224" s="14">
        <v>1</v>
      </c>
      <c r="I224" s="14">
        <v>2</v>
      </c>
      <c r="J224" s="14">
        <v>0.2</v>
      </c>
      <c r="K224">
        <f>VLOOKUP(A224,[1]dataset_2!B:H,2,FALSE)</f>
        <v>0.18179999999999999</v>
      </c>
      <c r="L224">
        <f>VLOOKUP(A224,[1]dataset_2!B:H,3,FALSE)</f>
        <v>0.4</v>
      </c>
      <c r="M224">
        <f>VLOOKUP(A224,[1]dataset_2!B:H,4,FALSE)</f>
        <v>0.28360000000000002</v>
      </c>
      <c r="N224">
        <f>VLOOKUP(A224,[1]dataset_2!B:H,5,FALSE)</f>
        <v>4</v>
      </c>
      <c r="O224">
        <f>VLOOKUP(A224,[1]dataset_2!B:H,6,FALSE)</f>
        <v>50</v>
      </c>
      <c r="P224">
        <f>VLOOKUP(A224,[1]dataset_2!B:H,7,FALSE)</f>
        <v>54</v>
      </c>
      <c r="Q224" t="str">
        <f t="shared" si="9"/>
        <v>Weekday</v>
      </c>
      <c r="R224" t="str">
        <f t="shared" si="10"/>
        <v>Afternoon</v>
      </c>
      <c r="S224" t="str">
        <f t="shared" si="11"/>
        <v>Low</v>
      </c>
    </row>
    <row r="225" spans="1:19">
      <c r="A225" s="14">
        <v>224</v>
      </c>
      <c r="B225" s="15">
        <v>40553</v>
      </c>
      <c r="C225" s="14">
        <v>1</v>
      </c>
      <c r="D225" s="14">
        <v>0</v>
      </c>
      <c r="E225" s="14">
        <v>1</v>
      </c>
      <c r="F225" s="14">
        <v>14</v>
      </c>
      <c r="G225" s="14" t="b">
        <v>0</v>
      </c>
      <c r="H225" s="14">
        <v>1</v>
      </c>
      <c r="I225" s="14">
        <v>2</v>
      </c>
      <c r="J225" s="14">
        <v>0.2</v>
      </c>
      <c r="K225">
        <f>VLOOKUP(A225,[1]dataset_2!B:H,2,FALSE)</f>
        <v>0.19700000000000001</v>
      </c>
      <c r="L225">
        <f>VLOOKUP(A225,[1]dataset_2!B:H,3,FALSE)</f>
        <v>0.4</v>
      </c>
      <c r="M225">
        <f>VLOOKUP(A225,[1]dataset_2!B:H,4,FALSE)</f>
        <v>0.22389999999999999</v>
      </c>
      <c r="N225">
        <f>VLOOKUP(A225,[1]dataset_2!B:H,5,FALSE)</f>
        <v>0</v>
      </c>
      <c r="O225">
        <f>VLOOKUP(A225,[1]dataset_2!B:H,6,FALSE)</f>
        <v>47</v>
      </c>
      <c r="P225">
        <f>VLOOKUP(A225,[1]dataset_2!B:H,7,FALSE)</f>
        <v>47</v>
      </c>
      <c r="Q225" t="str">
        <f t="shared" si="9"/>
        <v>Weekday</v>
      </c>
      <c r="R225" t="str">
        <f t="shared" si="10"/>
        <v>Afternoon</v>
      </c>
      <c r="S225" t="str">
        <f t="shared" si="11"/>
        <v>Low</v>
      </c>
    </row>
    <row r="226" spans="1:19">
      <c r="A226" s="14">
        <v>225</v>
      </c>
      <c r="B226" s="15">
        <v>40553</v>
      </c>
      <c r="C226" s="14">
        <v>1</v>
      </c>
      <c r="D226" s="14">
        <v>0</v>
      </c>
      <c r="E226" s="14">
        <v>1</v>
      </c>
      <c r="F226" s="14">
        <v>15</v>
      </c>
      <c r="G226" s="14" t="b">
        <v>0</v>
      </c>
      <c r="H226" s="14">
        <v>1</v>
      </c>
      <c r="I226" s="14">
        <v>2</v>
      </c>
      <c r="J226" s="14">
        <v>0.2</v>
      </c>
      <c r="K226">
        <f>VLOOKUP(A226,[1]dataset_2!B:H,2,FALSE)</f>
        <v>0.19700000000000001</v>
      </c>
      <c r="L226">
        <f>VLOOKUP(A226,[1]dataset_2!B:H,3,FALSE)</f>
        <v>0.4</v>
      </c>
      <c r="M226">
        <f>VLOOKUP(A226,[1]dataset_2!B:H,4,FALSE)</f>
        <v>0.22389999999999999</v>
      </c>
      <c r="N226">
        <f>VLOOKUP(A226,[1]dataset_2!B:H,5,FALSE)</f>
        <v>2</v>
      </c>
      <c r="O226">
        <f>VLOOKUP(A226,[1]dataset_2!B:H,6,FALSE)</f>
        <v>43</v>
      </c>
      <c r="P226">
        <f>VLOOKUP(A226,[1]dataset_2!B:H,7,FALSE)</f>
        <v>45</v>
      </c>
      <c r="Q226" t="str">
        <f t="shared" si="9"/>
        <v>Weekday</v>
      </c>
      <c r="R226" t="str">
        <f t="shared" si="10"/>
        <v>Afternoon</v>
      </c>
      <c r="S226" t="str">
        <f t="shared" si="11"/>
        <v>Low</v>
      </c>
    </row>
    <row r="227" spans="1:19">
      <c r="A227" s="14">
        <v>226</v>
      </c>
      <c r="B227" s="15">
        <v>40553</v>
      </c>
      <c r="C227" s="14">
        <v>1</v>
      </c>
      <c r="D227" s="14">
        <v>0</v>
      </c>
      <c r="E227" s="14">
        <v>1</v>
      </c>
      <c r="F227" s="14">
        <v>16</v>
      </c>
      <c r="G227" s="14" t="b">
        <v>0</v>
      </c>
      <c r="H227" s="14">
        <v>1</v>
      </c>
      <c r="I227" s="14">
        <v>1</v>
      </c>
      <c r="J227" s="14">
        <v>0.2</v>
      </c>
      <c r="K227">
        <f>VLOOKUP(A227,[1]dataset_2!B:H,2,FALSE)</f>
        <v>0.21210000000000001</v>
      </c>
      <c r="L227">
        <f>VLOOKUP(A227,[1]dataset_2!B:H,3,FALSE)</f>
        <v>0.4</v>
      </c>
      <c r="M227">
        <f>VLOOKUP(A227,[1]dataset_2!B:H,4,FALSE)</f>
        <v>0.1343</v>
      </c>
      <c r="N227">
        <f>VLOOKUP(A227,[1]dataset_2!B:H,5,FALSE)</f>
        <v>4</v>
      </c>
      <c r="O227">
        <f>VLOOKUP(A227,[1]dataset_2!B:H,6,FALSE)</f>
        <v>70</v>
      </c>
      <c r="P227">
        <f>VLOOKUP(A227,[1]dataset_2!B:H,7,FALSE)</f>
        <v>74</v>
      </c>
      <c r="Q227" t="str">
        <f t="shared" si="9"/>
        <v>Weekday</v>
      </c>
      <c r="R227" t="str">
        <f t="shared" si="10"/>
        <v>Afternoon</v>
      </c>
      <c r="S227" t="str">
        <f t="shared" si="11"/>
        <v>Low</v>
      </c>
    </row>
    <row r="228" spans="1:19">
      <c r="A228" s="14">
        <v>227</v>
      </c>
      <c r="B228" s="15">
        <v>40553</v>
      </c>
      <c r="C228" s="14">
        <v>1</v>
      </c>
      <c r="D228" s="14">
        <v>0</v>
      </c>
      <c r="E228" s="14">
        <v>1</v>
      </c>
      <c r="F228" s="14">
        <v>17</v>
      </c>
      <c r="G228" s="14" t="b">
        <v>0</v>
      </c>
      <c r="H228" s="14">
        <v>1</v>
      </c>
      <c r="I228" s="14">
        <v>1</v>
      </c>
      <c r="J228" s="14">
        <v>0.2</v>
      </c>
      <c r="K228">
        <f>VLOOKUP(A228,[1]dataset_2!B:H,2,FALSE)</f>
        <v>0.2273</v>
      </c>
      <c r="L228">
        <f>VLOOKUP(A228,[1]dataset_2!B:H,3,FALSE)</f>
        <v>0.4</v>
      </c>
      <c r="M228">
        <f>VLOOKUP(A228,[1]dataset_2!B:H,4,FALSE)</f>
        <v>0.1045</v>
      </c>
      <c r="N228">
        <f>VLOOKUP(A228,[1]dataset_2!B:H,5,FALSE)</f>
        <v>4</v>
      </c>
      <c r="O228">
        <f>VLOOKUP(A228,[1]dataset_2!B:H,6,FALSE)</f>
        <v>174</v>
      </c>
      <c r="P228">
        <f>VLOOKUP(A228,[1]dataset_2!B:H,7,FALSE)</f>
        <v>178</v>
      </c>
      <c r="Q228" t="str">
        <f t="shared" si="9"/>
        <v>Weekday</v>
      </c>
      <c r="R228" t="str">
        <f t="shared" si="10"/>
        <v>Afternoon</v>
      </c>
      <c r="S228" t="str">
        <f t="shared" si="11"/>
        <v>High</v>
      </c>
    </row>
    <row r="229" spans="1:19">
      <c r="A229" s="14">
        <v>228</v>
      </c>
      <c r="B229" s="15">
        <v>40553</v>
      </c>
      <c r="C229" s="14">
        <v>1</v>
      </c>
      <c r="D229" s="14">
        <v>0</v>
      </c>
      <c r="E229" s="14">
        <v>1</v>
      </c>
      <c r="F229" s="14">
        <v>18</v>
      </c>
      <c r="G229" s="14" t="b">
        <v>0</v>
      </c>
      <c r="H229" s="14">
        <v>1</v>
      </c>
      <c r="I229" s="14">
        <v>1</v>
      </c>
      <c r="J229" s="14">
        <v>0.2</v>
      </c>
      <c r="K229">
        <f>VLOOKUP(A229,[1]dataset_2!B:H,2,FALSE)</f>
        <v>0.19700000000000001</v>
      </c>
      <c r="L229">
        <f>VLOOKUP(A229,[1]dataset_2!B:H,3,FALSE)</f>
        <v>0.4</v>
      </c>
      <c r="M229">
        <f>VLOOKUP(A229,[1]dataset_2!B:H,4,FALSE)</f>
        <v>0.22389999999999999</v>
      </c>
      <c r="N229">
        <f>VLOOKUP(A229,[1]dataset_2!B:H,5,FALSE)</f>
        <v>1</v>
      </c>
      <c r="O229">
        <f>VLOOKUP(A229,[1]dataset_2!B:H,6,FALSE)</f>
        <v>154</v>
      </c>
      <c r="P229">
        <f>VLOOKUP(A229,[1]dataset_2!B:H,7,FALSE)</f>
        <v>155</v>
      </c>
      <c r="Q229" t="str">
        <f t="shared" si="9"/>
        <v>Weekday</v>
      </c>
      <c r="R229" t="str">
        <f t="shared" si="10"/>
        <v>Evening</v>
      </c>
      <c r="S229" t="str">
        <f t="shared" si="11"/>
        <v>High</v>
      </c>
    </row>
    <row r="230" spans="1:19">
      <c r="A230" s="14">
        <v>229</v>
      </c>
      <c r="B230" s="15">
        <v>40553</v>
      </c>
      <c r="C230" s="14">
        <v>1</v>
      </c>
      <c r="D230" s="14">
        <v>0</v>
      </c>
      <c r="E230" s="14">
        <v>1</v>
      </c>
      <c r="F230" s="14">
        <v>19</v>
      </c>
      <c r="G230" s="14" t="b">
        <v>0</v>
      </c>
      <c r="H230" s="14">
        <v>1</v>
      </c>
      <c r="I230" s="14">
        <v>1</v>
      </c>
      <c r="J230" s="14">
        <v>0.16</v>
      </c>
      <c r="K230">
        <f>VLOOKUP(A230,[1]dataset_2!B:H,2,FALSE)</f>
        <v>0.16669999999999999</v>
      </c>
      <c r="L230">
        <f>VLOOKUP(A230,[1]dataset_2!B:H,3,FALSE)</f>
        <v>0.47</v>
      </c>
      <c r="M230">
        <f>VLOOKUP(A230,[1]dataset_2!B:H,4,FALSE)</f>
        <v>0.16420000000000001</v>
      </c>
      <c r="N230">
        <f>VLOOKUP(A230,[1]dataset_2!B:H,5,FALSE)</f>
        <v>3</v>
      </c>
      <c r="O230">
        <f>VLOOKUP(A230,[1]dataset_2!B:H,6,FALSE)</f>
        <v>92</v>
      </c>
      <c r="P230">
        <f>VLOOKUP(A230,[1]dataset_2!B:H,7,FALSE)</f>
        <v>95</v>
      </c>
      <c r="Q230" t="str">
        <f t="shared" si="9"/>
        <v>Weekday</v>
      </c>
      <c r="R230" t="str">
        <f t="shared" si="10"/>
        <v>Evening</v>
      </c>
      <c r="S230" t="str">
        <f t="shared" si="11"/>
        <v>Low</v>
      </c>
    </row>
    <row r="231" spans="1:19">
      <c r="A231" s="14">
        <v>230</v>
      </c>
      <c r="B231" s="15">
        <v>40553</v>
      </c>
      <c r="C231" s="14">
        <v>1</v>
      </c>
      <c r="D231" s="14">
        <v>0</v>
      </c>
      <c r="E231" s="14">
        <v>1</v>
      </c>
      <c r="F231" s="14">
        <v>20</v>
      </c>
      <c r="G231" s="14" t="b">
        <v>0</v>
      </c>
      <c r="H231" s="14">
        <v>1</v>
      </c>
      <c r="I231" s="14">
        <v>1</v>
      </c>
      <c r="J231" s="14">
        <v>0.16</v>
      </c>
      <c r="K231">
        <f>VLOOKUP(A231,[1]dataset_2!B:H,2,FALSE)</f>
        <v>0.16669999999999999</v>
      </c>
      <c r="L231">
        <f>VLOOKUP(A231,[1]dataset_2!B:H,3,FALSE)</f>
        <v>0.5</v>
      </c>
      <c r="M231">
        <f>VLOOKUP(A231,[1]dataset_2!B:H,4,FALSE)</f>
        <v>0.16420000000000001</v>
      </c>
      <c r="N231">
        <f>VLOOKUP(A231,[1]dataset_2!B:H,5,FALSE)</f>
        <v>1</v>
      </c>
      <c r="O231">
        <f>VLOOKUP(A231,[1]dataset_2!B:H,6,FALSE)</f>
        <v>73</v>
      </c>
      <c r="P231">
        <f>VLOOKUP(A231,[1]dataset_2!B:H,7,FALSE)</f>
        <v>74</v>
      </c>
      <c r="Q231" t="str">
        <f t="shared" si="9"/>
        <v>Weekday</v>
      </c>
      <c r="R231" t="str">
        <f t="shared" si="10"/>
        <v>Evening</v>
      </c>
      <c r="S231" t="str">
        <f t="shared" si="11"/>
        <v>Low</v>
      </c>
    </row>
    <row r="232" spans="1:19">
      <c r="A232" s="14">
        <v>231</v>
      </c>
      <c r="B232" s="15">
        <v>40553</v>
      </c>
      <c r="C232" s="14">
        <v>1</v>
      </c>
      <c r="D232" s="14">
        <v>0</v>
      </c>
      <c r="E232" s="14">
        <v>1</v>
      </c>
      <c r="F232" s="14">
        <v>21</v>
      </c>
      <c r="G232" s="14" t="b">
        <v>0</v>
      </c>
      <c r="H232" s="14">
        <v>1</v>
      </c>
      <c r="I232" s="14">
        <v>1</v>
      </c>
      <c r="J232" s="14">
        <v>0.14000000000000001</v>
      </c>
      <c r="K232">
        <f>VLOOKUP(A232,[1]dataset_2!B:H,2,FALSE)</f>
        <v>0.13639999999999999</v>
      </c>
      <c r="L232">
        <f>VLOOKUP(A232,[1]dataset_2!B:H,3,FALSE)</f>
        <v>0.59</v>
      </c>
      <c r="M232">
        <f>VLOOKUP(A232,[1]dataset_2!B:H,4,FALSE)</f>
        <v>0.19400000000000001</v>
      </c>
      <c r="N232">
        <f>VLOOKUP(A232,[1]dataset_2!B:H,5,FALSE)</f>
        <v>1</v>
      </c>
      <c r="O232">
        <f>VLOOKUP(A232,[1]dataset_2!B:H,6,FALSE)</f>
        <v>37</v>
      </c>
      <c r="P232">
        <f>VLOOKUP(A232,[1]dataset_2!B:H,7,FALSE)</f>
        <v>38</v>
      </c>
      <c r="Q232" t="str">
        <f t="shared" si="9"/>
        <v>Weekday</v>
      </c>
      <c r="R232" t="str">
        <f t="shared" si="10"/>
        <v>Evening</v>
      </c>
      <c r="S232" t="str">
        <f t="shared" si="11"/>
        <v>Low</v>
      </c>
    </row>
    <row r="233" spans="1:19">
      <c r="A233" s="14">
        <v>232</v>
      </c>
      <c r="B233" s="15">
        <v>40553</v>
      </c>
      <c r="C233" s="14">
        <v>1</v>
      </c>
      <c r="D233" s="14">
        <v>0</v>
      </c>
      <c r="E233" s="14">
        <v>1</v>
      </c>
      <c r="F233" s="14">
        <v>22</v>
      </c>
      <c r="G233" s="14" t="b">
        <v>0</v>
      </c>
      <c r="H233" s="14">
        <v>1</v>
      </c>
      <c r="I233" s="14">
        <v>1</v>
      </c>
      <c r="J233" s="14">
        <v>0.14000000000000001</v>
      </c>
      <c r="K233">
        <f>VLOOKUP(A233,[1]dataset_2!B:H,2,FALSE)</f>
        <v>0.1515</v>
      </c>
      <c r="L233">
        <f>VLOOKUP(A233,[1]dataset_2!B:H,3,FALSE)</f>
        <v>0.59</v>
      </c>
      <c r="M233">
        <f>VLOOKUP(A233,[1]dataset_2!B:H,4,FALSE)</f>
        <v>0.16420000000000001</v>
      </c>
      <c r="N233">
        <f>VLOOKUP(A233,[1]dataset_2!B:H,5,FALSE)</f>
        <v>2</v>
      </c>
      <c r="O233">
        <f>VLOOKUP(A233,[1]dataset_2!B:H,6,FALSE)</f>
        <v>22</v>
      </c>
      <c r="P233">
        <f>VLOOKUP(A233,[1]dataset_2!B:H,7,FALSE)</f>
        <v>24</v>
      </c>
      <c r="Q233" t="str">
        <f t="shared" si="9"/>
        <v>Weekday</v>
      </c>
      <c r="R233" t="str">
        <f t="shared" si="10"/>
        <v>Evening</v>
      </c>
      <c r="S233" t="str">
        <f t="shared" si="11"/>
        <v>Low</v>
      </c>
    </row>
    <row r="234" spans="1:19">
      <c r="A234" s="14">
        <v>233</v>
      </c>
      <c r="B234" s="15">
        <v>40553</v>
      </c>
      <c r="C234" s="14">
        <v>1</v>
      </c>
      <c r="D234" s="14">
        <v>0</v>
      </c>
      <c r="E234" s="14">
        <v>1</v>
      </c>
      <c r="F234" s="14">
        <v>23</v>
      </c>
      <c r="G234" s="14" t="b">
        <v>0</v>
      </c>
      <c r="H234" s="14">
        <v>1</v>
      </c>
      <c r="I234" s="14">
        <v>1</v>
      </c>
      <c r="J234" s="14">
        <v>0.14000000000000001</v>
      </c>
      <c r="K234">
        <f>VLOOKUP(A234,[1]dataset_2!B:H,2,FALSE)</f>
        <v>0.1515</v>
      </c>
      <c r="L234">
        <f>VLOOKUP(A234,[1]dataset_2!B:H,3,FALSE)</f>
        <v>0.59</v>
      </c>
      <c r="M234">
        <f>VLOOKUP(A234,[1]dataset_2!B:H,4,FALSE)</f>
        <v>0.16420000000000001</v>
      </c>
      <c r="N234">
        <f>VLOOKUP(A234,[1]dataset_2!B:H,5,FALSE)</f>
        <v>0</v>
      </c>
      <c r="O234">
        <f>VLOOKUP(A234,[1]dataset_2!B:H,6,FALSE)</f>
        <v>18</v>
      </c>
      <c r="P234">
        <f>VLOOKUP(A234,[1]dataset_2!B:H,7,FALSE)</f>
        <v>18</v>
      </c>
      <c r="Q234" t="str">
        <f t="shared" si="9"/>
        <v>Weekday</v>
      </c>
      <c r="R234" t="str">
        <f t="shared" si="10"/>
        <v>Evening</v>
      </c>
      <c r="S234" t="str">
        <f t="shared" si="11"/>
        <v>Low</v>
      </c>
    </row>
    <row r="235" spans="1:19">
      <c r="A235" s="14">
        <v>234</v>
      </c>
      <c r="B235" s="15">
        <v>40554</v>
      </c>
      <c r="C235" s="14">
        <v>1</v>
      </c>
      <c r="D235" s="14">
        <v>0</v>
      </c>
      <c r="E235" s="14">
        <v>1</v>
      </c>
      <c r="F235" s="14">
        <v>0</v>
      </c>
      <c r="G235" s="14" t="b">
        <v>0</v>
      </c>
      <c r="H235" s="14">
        <v>2</v>
      </c>
      <c r="I235" s="14">
        <v>1</v>
      </c>
      <c r="J235" s="14">
        <v>0.14000000000000001</v>
      </c>
      <c r="K235">
        <f>VLOOKUP(A235,[1]dataset_2!B:H,2,FALSE)</f>
        <v>0.16669999999999999</v>
      </c>
      <c r="L235">
        <f>VLOOKUP(A235,[1]dataset_2!B:H,3,FALSE)</f>
        <v>0.59</v>
      </c>
      <c r="M235">
        <f>VLOOKUP(A235,[1]dataset_2!B:H,4,FALSE)</f>
        <v>0.1045</v>
      </c>
      <c r="N235">
        <f>VLOOKUP(A235,[1]dataset_2!B:H,5,FALSE)</f>
        <v>2</v>
      </c>
      <c r="O235">
        <f>VLOOKUP(A235,[1]dataset_2!B:H,6,FALSE)</f>
        <v>10</v>
      </c>
      <c r="P235">
        <f>VLOOKUP(A235,[1]dataset_2!B:H,7,FALSE)</f>
        <v>12</v>
      </c>
      <c r="Q235" t="str">
        <f t="shared" si="9"/>
        <v>Weekday</v>
      </c>
      <c r="R235" t="str">
        <f t="shared" si="10"/>
        <v>Morning</v>
      </c>
      <c r="S235" t="str">
        <f t="shared" si="11"/>
        <v>Low</v>
      </c>
    </row>
    <row r="236" spans="1:19">
      <c r="A236" s="14">
        <v>235</v>
      </c>
      <c r="B236" s="15">
        <v>40554</v>
      </c>
      <c r="C236" s="14">
        <v>1</v>
      </c>
      <c r="D236" s="14">
        <v>0</v>
      </c>
      <c r="E236" s="14">
        <v>1</v>
      </c>
      <c r="F236" s="14">
        <v>1</v>
      </c>
      <c r="G236" s="14" t="b">
        <v>0</v>
      </c>
      <c r="H236" s="14">
        <v>2</v>
      </c>
      <c r="I236" s="14">
        <v>1</v>
      </c>
      <c r="J236" s="14">
        <v>0.14000000000000001</v>
      </c>
      <c r="K236">
        <f>VLOOKUP(A236,[1]dataset_2!B:H,2,FALSE)</f>
        <v>0.1515</v>
      </c>
      <c r="L236">
        <f>VLOOKUP(A236,[1]dataset_2!B:H,3,FALSE)</f>
        <v>0.59</v>
      </c>
      <c r="M236">
        <f>VLOOKUP(A236,[1]dataset_2!B:H,4,FALSE)</f>
        <v>0.16420000000000001</v>
      </c>
      <c r="N236">
        <f>VLOOKUP(A236,[1]dataset_2!B:H,5,FALSE)</f>
        <v>0</v>
      </c>
      <c r="O236">
        <f>VLOOKUP(A236,[1]dataset_2!B:H,6,FALSE)</f>
        <v>3</v>
      </c>
      <c r="P236">
        <f>VLOOKUP(A236,[1]dataset_2!B:H,7,FALSE)</f>
        <v>3</v>
      </c>
      <c r="Q236" t="str">
        <f t="shared" si="9"/>
        <v>Weekday</v>
      </c>
      <c r="R236" t="str">
        <f t="shared" si="10"/>
        <v>Morning</v>
      </c>
      <c r="S236" t="str">
        <f t="shared" si="11"/>
        <v>Low</v>
      </c>
    </row>
    <row r="237" spans="1:19">
      <c r="A237" s="14">
        <v>236</v>
      </c>
      <c r="B237" s="15">
        <v>40554</v>
      </c>
      <c r="C237" s="14">
        <v>1</v>
      </c>
      <c r="D237" s="14">
        <v>0</v>
      </c>
      <c r="E237" s="14">
        <v>1</v>
      </c>
      <c r="F237" s="14">
        <v>2</v>
      </c>
      <c r="G237" s="14" t="b">
        <v>0</v>
      </c>
      <c r="H237" s="14">
        <v>2</v>
      </c>
      <c r="I237" s="14">
        <v>2</v>
      </c>
      <c r="J237" s="14">
        <v>0.16</v>
      </c>
      <c r="K237">
        <f>VLOOKUP(A237,[1]dataset_2!B:H,2,FALSE)</f>
        <v>0.1515</v>
      </c>
      <c r="L237">
        <f>VLOOKUP(A237,[1]dataset_2!B:H,3,FALSE)</f>
        <v>0.55000000000000004</v>
      </c>
      <c r="M237">
        <f>VLOOKUP(A237,[1]dataset_2!B:H,4,FALSE)</f>
        <v>0.19400000000000001</v>
      </c>
      <c r="N237">
        <f>VLOOKUP(A237,[1]dataset_2!B:H,5,FALSE)</f>
        <v>0</v>
      </c>
      <c r="O237">
        <f>VLOOKUP(A237,[1]dataset_2!B:H,6,FALSE)</f>
        <v>3</v>
      </c>
      <c r="P237">
        <f>VLOOKUP(A237,[1]dataset_2!B:H,7,FALSE)</f>
        <v>3</v>
      </c>
      <c r="Q237" t="str">
        <f t="shared" si="9"/>
        <v>Weekday</v>
      </c>
      <c r="R237" t="str">
        <f t="shared" si="10"/>
        <v>Morning</v>
      </c>
      <c r="S237" t="str">
        <f t="shared" si="11"/>
        <v>Low</v>
      </c>
    </row>
    <row r="238" spans="1:19">
      <c r="A238" s="14">
        <v>237</v>
      </c>
      <c r="B238" s="15">
        <v>40554</v>
      </c>
      <c r="C238" s="14">
        <v>1</v>
      </c>
      <c r="D238" s="14">
        <v>0</v>
      </c>
      <c r="E238" s="14">
        <v>1</v>
      </c>
      <c r="F238" s="14">
        <v>5</v>
      </c>
      <c r="G238" s="14" t="b">
        <v>0</v>
      </c>
      <c r="H238" s="14">
        <v>2</v>
      </c>
      <c r="I238" s="14">
        <v>2</v>
      </c>
      <c r="J238" s="14">
        <v>0.16</v>
      </c>
      <c r="K238">
        <f>VLOOKUP(A238,[1]dataset_2!B:H,2,FALSE)</f>
        <v>0.18179999999999999</v>
      </c>
      <c r="L238">
        <f>VLOOKUP(A238,[1]dataset_2!B:H,3,FALSE)</f>
        <v>0.55000000000000004</v>
      </c>
      <c r="M238">
        <f>VLOOKUP(A238,[1]dataset_2!B:H,4,FALSE)</f>
        <v>0.1343</v>
      </c>
      <c r="N238">
        <f>VLOOKUP(A238,[1]dataset_2!B:H,5,FALSE)</f>
        <v>0</v>
      </c>
      <c r="O238">
        <f>VLOOKUP(A238,[1]dataset_2!B:H,6,FALSE)</f>
        <v>6</v>
      </c>
      <c r="P238">
        <f>VLOOKUP(A238,[1]dataset_2!B:H,7,FALSE)</f>
        <v>6</v>
      </c>
      <c r="Q238" t="str">
        <f t="shared" si="9"/>
        <v>Weekday</v>
      </c>
      <c r="R238" t="str">
        <f t="shared" si="10"/>
        <v>Morning</v>
      </c>
      <c r="S238" t="str">
        <f t="shared" si="11"/>
        <v>Low</v>
      </c>
    </row>
    <row r="239" spans="1:19">
      <c r="A239" s="14">
        <v>238</v>
      </c>
      <c r="B239" s="15">
        <v>40554</v>
      </c>
      <c r="C239" s="14">
        <v>1</v>
      </c>
      <c r="D239" s="14">
        <v>0</v>
      </c>
      <c r="E239" s="14">
        <v>1</v>
      </c>
      <c r="F239" s="14">
        <v>6</v>
      </c>
      <c r="G239" s="14" t="b">
        <v>0</v>
      </c>
      <c r="H239" s="14">
        <v>2</v>
      </c>
      <c r="I239" s="14">
        <v>2</v>
      </c>
      <c r="J239" s="14">
        <v>0.16</v>
      </c>
      <c r="K239">
        <f>VLOOKUP(A239,[1]dataset_2!B:H,2,FALSE)</f>
        <v>0.18179999999999999</v>
      </c>
      <c r="L239">
        <f>VLOOKUP(A239,[1]dataset_2!B:H,3,FALSE)</f>
        <v>0.55000000000000004</v>
      </c>
      <c r="M239">
        <f>VLOOKUP(A239,[1]dataset_2!B:H,4,FALSE)</f>
        <v>0.1343</v>
      </c>
      <c r="N239">
        <f>VLOOKUP(A239,[1]dataset_2!B:H,5,FALSE)</f>
        <v>0</v>
      </c>
      <c r="O239">
        <f>VLOOKUP(A239,[1]dataset_2!B:H,6,FALSE)</f>
        <v>27</v>
      </c>
      <c r="P239">
        <f>VLOOKUP(A239,[1]dataset_2!B:H,7,FALSE)</f>
        <v>27</v>
      </c>
      <c r="Q239" t="str">
        <f t="shared" si="9"/>
        <v>Weekday</v>
      </c>
      <c r="R239" t="str">
        <f t="shared" si="10"/>
        <v>Morning</v>
      </c>
      <c r="S239" t="str">
        <f t="shared" si="11"/>
        <v>Low</v>
      </c>
    </row>
    <row r="240" spans="1:19">
      <c r="A240" s="14">
        <v>239</v>
      </c>
      <c r="B240" s="15">
        <v>40554</v>
      </c>
      <c r="C240" s="14">
        <v>1</v>
      </c>
      <c r="D240" s="14">
        <v>0</v>
      </c>
      <c r="E240" s="14">
        <v>1</v>
      </c>
      <c r="F240" s="14">
        <v>7</v>
      </c>
      <c r="G240" s="14" t="b">
        <v>0</v>
      </c>
      <c r="H240" s="14">
        <v>2</v>
      </c>
      <c r="I240" s="14">
        <v>2</v>
      </c>
      <c r="J240" s="14">
        <v>0.16</v>
      </c>
      <c r="K240">
        <f>VLOOKUP(A240,[1]dataset_2!B:H,2,FALSE)</f>
        <v>0.2273</v>
      </c>
      <c r="L240">
        <f>VLOOKUP(A240,[1]dataset_2!B:H,3,FALSE)</f>
        <v>0.55000000000000004</v>
      </c>
      <c r="M240">
        <f>VLOOKUP(A240,[1]dataset_2!B:H,4,FALSE)</f>
        <v>0</v>
      </c>
      <c r="N240">
        <f>VLOOKUP(A240,[1]dataset_2!B:H,5,FALSE)</f>
        <v>2</v>
      </c>
      <c r="O240">
        <f>VLOOKUP(A240,[1]dataset_2!B:H,6,FALSE)</f>
        <v>97</v>
      </c>
      <c r="P240">
        <f>VLOOKUP(A240,[1]dataset_2!B:H,7,FALSE)</f>
        <v>99</v>
      </c>
      <c r="Q240" t="str">
        <f t="shared" si="9"/>
        <v>Weekday</v>
      </c>
      <c r="R240" t="str">
        <f t="shared" si="10"/>
        <v>Morning</v>
      </c>
      <c r="S240" t="str">
        <f t="shared" si="11"/>
        <v>Low</v>
      </c>
    </row>
    <row r="241" spans="1:19">
      <c r="A241" s="14">
        <v>240</v>
      </c>
      <c r="B241" s="15">
        <v>40554</v>
      </c>
      <c r="C241" s="14">
        <v>1</v>
      </c>
      <c r="D241" s="14">
        <v>0</v>
      </c>
      <c r="E241" s="14">
        <v>1</v>
      </c>
      <c r="F241" s="14">
        <v>8</v>
      </c>
      <c r="G241" s="14" t="b">
        <v>0</v>
      </c>
      <c r="H241" s="14">
        <v>2</v>
      </c>
      <c r="I241" s="14">
        <v>2</v>
      </c>
      <c r="J241" s="14">
        <v>0.18</v>
      </c>
      <c r="K241">
        <f>VLOOKUP(A241,[1]dataset_2!B:H,2,FALSE)</f>
        <v>0.21210000000000001</v>
      </c>
      <c r="L241">
        <f>VLOOKUP(A241,[1]dataset_2!B:H,3,FALSE)</f>
        <v>0.51</v>
      </c>
      <c r="M241">
        <f>VLOOKUP(A241,[1]dataset_2!B:H,4,FALSE)</f>
        <v>8.9599999999999999E-2</v>
      </c>
      <c r="N241">
        <f>VLOOKUP(A241,[1]dataset_2!B:H,5,FALSE)</f>
        <v>3</v>
      </c>
      <c r="O241">
        <f>VLOOKUP(A241,[1]dataset_2!B:H,6,FALSE)</f>
        <v>214</v>
      </c>
      <c r="P241">
        <f>VLOOKUP(A241,[1]dataset_2!B:H,7,FALSE)</f>
        <v>217</v>
      </c>
      <c r="Q241" t="str">
        <f t="shared" si="9"/>
        <v>Weekday</v>
      </c>
      <c r="R241" t="str">
        <f t="shared" si="10"/>
        <v>Morning</v>
      </c>
      <c r="S241" t="str">
        <f t="shared" si="11"/>
        <v>High</v>
      </c>
    </row>
    <row r="242" spans="1:19">
      <c r="A242" s="14">
        <v>241</v>
      </c>
      <c r="B242" s="15">
        <v>40554</v>
      </c>
      <c r="C242" s="14">
        <v>1</v>
      </c>
      <c r="D242" s="14">
        <v>0</v>
      </c>
      <c r="E242" s="14">
        <v>1</v>
      </c>
      <c r="F242" s="14">
        <v>9</v>
      </c>
      <c r="G242" s="14" t="b">
        <v>0</v>
      </c>
      <c r="H242" s="14">
        <v>2</v>
      </c>
      <c r="I242" s="14">
        <v>2</v>
      </c>
      <c r="J242" s="14">
        <v>0.18</v>
      </c>
      <c r="K242">
        <f>VLOOKUP(A242,[1]dataset_2!B:H,2,FALSE)</f>
        <v>0.19700000000000001</v>
      </c>
      <c r="L242">
        <f>VLOOKUP(A242,[1]dataset_2!B:H,3,FALSE)</f>
        <v>0.51</v>
      </c>
      <c r="M242">
        <f>VLOOKUP(A242,[1]dataset_2!B:H,4,FALSE)</f>
        <v>0.16420000000000001</v>
      </c>
      <c r="N242">
        <f>VLOOKUP(A242,[1]dataset_2!B:H,5,FALSE)</f>
        <v>3</v>
      </c>
      <c r="O242">
        <f>VLOOKUP(A242,[1]dataset_2!B:H,6,FALSE)</f>
        <v>127</v>
      </c>
      <c r="P242">
        <f>VLOOKUP(A242,[1]dataset_2!B:H,7,FALSE)</f>
        <v>130</v>
      </c>
      <c r="Q242" t="str">
        <f t="shared" si="9"/>
        <v>Weekday</v>
      </c>
      <c r="R242" t="str">
        <f t="shared" si="10"/>
        <v>Morning</v>
      </c>
      <c r="S242" t="str">
        <f t="shared" si="11"/>
        <v>High</v>
      </c>
    </row>
    <row r="243" spans="1:19">
      <c r="A243" s="14">
        <v>242</v>
      </c>
      <c r="B243" s="15">
        <v>40554</v>
      </c>
      <c r="C243" s="14">
        <v>1</v>
      </c>
      <c r="D243" s="14">
        <v>0</v>
      </c>
      <c r="E243" s="14">
        <v>1</v>
      </c>
      <c r="F243" s="14">
        <v>10</v>
      </c>
      <c r="G243" s="14" t="b">
        <v>0</v>
      </c>
      <c r="H243" s="14">
        <v>2</v>
      </c>
      <c r="I243" s="14">
        <v>2</v>
      </c>
      <c r="J243" s="14">
        <v>0.2</v>
      </c>
      <c r="K243">
        <f>VLOOKUP(A243,[1]dataset_2!B:H,2,FALSE)</f>
        <v>0.21210000000000001</v>
      </c>
      <c r="L243">
        <f>VLOOKUP(A243,[1]dataset_2!B:H,3,FALSE)</f>
        <v>0.51</v>
      </c>
      <c r="M243">
        <f>VLOOKUP(A243,[1]dataset_2!B:H,4,FALSE)</f>
        <v>0.16420000000000001</v>
      </c>
      <c r="N243">
        <f>VLOOKUP(A243,[1]dataset_2!B:H,5,FALSE)</f>
        <v>3</v>
      </c>
      <c r="O243">
        <f>VLOOKUP(A243,[1]dataset_2!B:H,6,FALSE)</f>
        <v>51</v>
      </c>
      <c r="P243">
        <f>VLOOKUP(A243,[1]dataset_2!B:H,7,FALSE)</f>
        <v>54</v>
      </c>
      <c r="Q243" t="str">
        <f t="shared" si="9"/>
        <v>Weekday</v>
      </c>
      <c r="R243" t="str">
        <f t="shared" si="10"/>
        <v>Morning</v>
      </c>
      <c r="S243" t="str">
        <f t="shared" si="11"/>
        <v>Low</v>
      </c>
    </row>
    <row r="244" spans="1:19">
      <c r="A244" s="14">
        <v>243</v>
      </c>
      <c r="B244" s="15">
        <v>40554</v>
      </c>
      <c r="C244" s="14">
        <v>1</v>
      </c>
      <c r="D244" s="14">
        <v>0</v>
      </c>
      <c r="E244" s="14">
        <v>1</v>
      </c>
      <c r="F244" s="14">
        <v>11</v>
      </c>
      <c r="G244" s="14" t="b">
        <v>0</v>
      </c>
      <c r="H244" s="14">
        <v>2</v>
      </c>
      <c r="I244" s="14">
        <v>2</v>
      </c>
      <c r="J244" s="14">
        <v>0.2</v>
      </c>
      <c r="K244">
        <f>VLOOKUP(A244,[1]dataset_2!B:H,2,FALSE)</f>
        <v>0.21210000000000001</v>
      </c>
      <c r="L244">
        <f>VLOOKUP(A244,[1]dataset_2!B:H,3,FALSE)</f>
        <v>0.47</v>
      </c>
      <c r="M244">
        <f>VLOOKUP(A244,[1]dataset_2!B:H,4,FALSE)</f>
        <v>0.1343</v>
      </c>
      <c r="N244">
        <f>VLOOKUP(A244,[1]dataset_2!B:H,5,FALSE)</f>
        <v>4</v>
      </c>
      <c r="O244">
        <f>VLOOKUP(A244,[1]dataset_2!B:H,6,FALSE)</f>
        <v>31</v>
      </c>
      <c r="P244">
        <f>VLOOKUP(A244,[1]dataset_2!B:H,7,FALSE)</f>
        <v>35</v>
      </c>
      <c r="Q244" t="str">
        <f t="shared" si="9"/>
        <v>Weekday</v>
      </c>
      <c r="R244" t="str">
        <f t="shared" si="10"/>
        <v>Morning</v>
      </c>
      <c r="S244" t="str">
        <f t="shared" si="11"/>
        <v>Low</v>
      </c>
    </row>
    <row r="245" spans="1:19">
      <c r="A245" s="14">
        <v>244</v>
      </c>
      <c r="B245" s="15">
        <v>40554</v>
      </c>
      <c r="C245" s="14">
        <v>1</v>
      </c>
      <c r="D245" s="14">
        <v>0</v>
      </c>
      <c r="E245" s="14">
        <v>1</v>
      </c>
      <c r="F245" s="14">
        <v>12</v>
      </c>
      <c r="G245" s="14" t="b">
        <v>0</v>
      </c>
      <c r="H245" s="14">
        <v>2</v>
      </c>
      <c r="I245" s="14">
        <v>2</v>
      </c>
      <c r="J245" s="14">
        <v>0.2</v>
      </c>
      <c r="K245">
        <f>VLOOKUP(A245,[1]dataset_2!B:H,2,FALSE)</f>
        <v>0.2273</v>
      </c>
      <c r="L245">
        <f>VLOOKUP(A245,[1]dataset_2!B:H,3,FALSE)</f>
        <v>0.51</v>
      </c>
      <c r="M245">
        <f>VLOOKUP(A245,[1]dataset_2!B:H,4,FALSE)</f>
        <v>0.1045</v>
      </c>
      <c r="N245">
        <f>VLOOKUP(A245,[1]dataset_2!B:H,5,FALSE)</f>
        <v>2</v>
      </c>
      <c r="O245">
        <f>VLOOKUP(A245,[1]dataset_2!B:H,6,FALSE)</f>
        <v>55</v>
      </c>
      <c r="P245">
        <f>VLOOKUP(A245,[1]dataset_2!B:H,7,FALSE)</f>
        <v>57</v>
      </c>
      <c r="Q245" t="str">
        <f t="shared" si="9"/>
        <v>Weekday</v>
      </c>
      <c r="R245" t="str">
        <f t="shared" si="10"/>
        <v>Afternoon</v>
      </c>
      <c r="S245" t="str">
        <f t="shared" si="11"/>
        <v>Low</v>
      </c>
    </row>
    <row r="246" spans="1:19">
      <c r="A246" s="14">
        <v>245</v>
      </c>
      <c r="B246" s="15">
        <v>40554</v>
      </c>
      <c r="C246" s="14">
        <v>1</v>
      </c>
      <c r="D246" s="14">
        <v>0</v>
      </c>
      <c r="E246" s="14">
        <v>1</v>
      </c>
      <c r="F246" s="14">
        <v>13</v>
      </c>
      <c r="G246" s="14" t="b">
        <v>0</v>
      </c>
      <c r="H246" s="14">
        <v>2</v>
      </c>
      <c r="I246" s="14">
        <v>2</v>
      </c>
      <c r="J246" s="14">
        <v>0.2</v>
      </c>
      <c r="K246">
        <f>VLOOKUP(A246,[1]dataset_2!B:H,2,FALSE)</f>
        <v>0.2273</v>
      </c>
      <c r="L246">
        <f>VLOOKUP(A246,[1]dataset_2!B:H,3,FALSE)</f>
        <v>0.59</v>
      </c>
      <c r="M246">
        <f>VLOOKUP(A246,[1]dataset_2!B:H,4,FALSE)</f>
        <v>8.9599999999999999E-2</v>
      </c>
      <c r="N246">
        <f>VLOOKUP(A246,[1]dataset_2!B:H,5,FALSE)</f>
        <v>6</v>
      </c>
      <c r="O246">
        <f>VLOOKUP(A246,[1]dataset_2!B:H,6,FALSE)</f>
        <v>46</v>
      </c>
      <c r="P246">
        <f>VLOOKUP(A246,[1]dataset_2!B:H,7,FALSE)</f>
        <v>52</v>
      </c>
      <c r="Q246" t="str">
        <f t="shared" si="9"/>
        <v>Weekday</v>
      </c>
      <c r="R246" t="str">
        <f t="shared" si="10"/>
        <v>Afternoon</v>
      </c>
      <c r="S246" t="str">
        <f t="shared" si="11"/>
        <v>Low</v>
      </c>
    </row>
    <row r="247" spans="1:19">
      <c r="A247" s="14">
        <v>246</v>
      </c>
      <c r="B247" s="15">
        <v>40554</v>
      </c>
      <c r="C247" s="14">
        <v>1</v>
      </c>
      <c r="D247" s="14">
        <v>0</v>
      </c>
      <c r="E247" s="14">
        <v>1</v>
      </c>
      <c r="F247" s="14">
        <v>14</v>
      </c>
      <c r="G247" s="14" t="b">
        <v>0</v>
      </c>
      <c r="H247" s="14">
        <v>2</v>
      </c>
      <c r="I247" s="14">
        <v>2</v>
      </c>
      <c r="J247" s="14">
        <v>0.2</v>
      </c>
      <c r="K247">
        <f>VLOOKUP(A247,[1]dataset_2!B:H,2,FALSE)</f>
        <v>0.2273</v>
      </c>
      <c r="L247">
        <f>VLOOKUP(A247,[1]dataset_2!B:H,3,FALSE)</f>
        <v>0.59</v>
      </c>
      <c r="M247">
        <f>VLOOKUP(A247,[1]dataset_2!B:H,4,FALSE)</f>
        <v>8.9599999999999999E-2</v>
      </c>
      <c r="N247">
        <f>VLOOKUP(A247,[1]dataset_2!B:H,5,FALSE)</f>
        <v>3</v>
      </c>
      <c r="O247">
        <f>VLOOKUP(A247,[1]dataset_2!B:H,6,FALSE)</f>
        <v>60</v>
      </c>
      <c r="P247">
        <f>VLOOKUP(A247,[1]dataset_2!B:H,7,FALSE)</f>
        <v>63</v>
      </c>
      <c r="Q247" t="str">
        <f t="shared" si="9"/>
        <v>Weekday</v>
      </c>
      <c r="R247" t="str">
        <f t="shared" si="10"/>
        <v>Afternoon</v>
      </c>
      <c r="S247" t="str">
        <f t="shared" si="11"/>
        <v>Low</v>
      </c>
    </row>
    <row r="248" spans="1:19">
      <c r="A248" s="14">
        <v>247</v>
      </c>
      <c r="B248" s="15">
        <v>40554</v>
      </c>
      <c r="C248" s="14">
        <v>1</v>
      </c>
      <c r="D248" s="14">
        <v>0</v>
      </c>
      <c r="E248" s="14">
        <v>1</v>
      </c>
      <c r="F248" s="14">
        <v>15</v>
      </c>
      <c r="G248" s="14" t="b">
        <v>0</v>
      </c>
      <c r="H248" s="14">
        <v>2</v>
      </c>
      <c r="I248" s="14">
        <v>2</v>
      </c>
      <c r="J248" s="14">
        <v>0.16</v>
      </c>
      <c r="K248">
        <f>VLOOKUP(A248,[1]dataset_2!B:H,2,FALSE)</f>
        <v>0.19700000000000001</v>
      </c>
      <c r="L248">
        <f>VLOOKUP(A248,[1]dataset_2!B:H,3,FALSE)</f>
        <v>0.8</v>
      </c>
      <c r="M248">
        <f>VLOOKUP(A248,[1]dataset_2!B:H,4,FALSE)</f>
        <v>8.9599999999999999E-2</v>
      </c>
      <c r="N248">
        <f>VLOOKUP(A248,[1]dataset_2!B:H,5,FALSE)</f>
        <v>2</v>
      </c>
      <c r="O248">
        <f>VLOOKUP(A248,[1]dataset_2!B:H,6,FALSE)</f>
        <v>45</v>
      </c>
      <c r="P248">
        <f>VLOOKUP(A248,[1]dataset_2!B:H,7,FALSE)</f>
        <v>47</v>
      </c>
      <c r="Q248" t="str">
        <f t="shared" si="9"/>
        <v>Weekday</v>
      </c>
      <c r="R248" t="str">
        <f t="shared" si="10"/>
        <v>Afternoon</v>
      </c>
      <c r="S248" t="str">
        <f t="shared" si="11"/>
        <v>Low</v>
      </c>
    </row>
    <row r="249" spans="1:19">
      <c r="A249" s="14">
        <v>248</v>
      </c>
      <c r="B249" s="15">
        <v>40554</v>
      </c>
      <c r="C249" s="14">
        <v>1</v>
      </c>
      <c r="D249" s="14">
        <v>0</v>
      </c>
      <c r="E249" s="14">
        <v>1</v>
      </c>
      <c r="F249" s="14">
        <v>16</v>
      </c>
      <c r="G249" s="14" t="b">
        <v>0</v>
      </c>
      <c r="H249" s="14">
        <v>2</v>
      </c>
      <c r="I249" s="14">
        <v>2</v>
      </c>
      <c r="J249" s="14">
        <v>0.16</v>
      </c>
      <c r="K249">
        <f>VLOOKUP(A249,[1]dataset_2!B:H,2,FALSE)</f>
        <v>0.1515</v>
      </c>
      <c r="L249">
        <f>VLOOKUP(A249,[1]dataset_2!B:H,3,FALSE)</f>
        <v>0.86</v>
      </c>
      <c r="M249">
        <f>VLOOKUP(A249,[1]dataset_2!B:H,4,FALSE)</f>
        <v>0.22389999999999999</v>
      </c>
      <c r="N249">
        <f>VLOOKUP(A249,[1]dataset_2!B:H,5,FALSE)</f>
        <v>4</v>
      </c>
      <c r="O249">
        <f>VLOOKUP(A249,[1]dataset_2!B:H,6,FALSE)</f>
        <v>72</v>
      </c>
      <c r="P249">
        <f>VLOOKUP(A249,[1]dataset_2!B:H,7,FALSE)</f>
        <v>76</v>
      </c>
      <c r="Q249" t="str">
        <f t="shared" si="9"/>
        <v>Weekday</v>
      </c>
      <c r="R249" t="str">
        <f t="shared" si="10"/>
        <v>Afternoon</v>
      </c>
      <c r="S249" t="str">
        <f t="shared" si="11"/>
        <v>Low</v>
      </c>
    </row>
    <row r="250" spans="1:19">
      <c r="A250" s="14">
        <v>249</v>
      </c>
      <c r="B250" s="15">
        <v>40554</v>
      </c>
      <c r="C250" s="14">
        <v>1</v>
      </c>
      <c r="D250" s="14">
        <v>0</v>
      </c>
      <c r="E250" s="14">
        <v>1</v>
      </c>
      <c r="F250" s="14">
        <v>17</v>
      </c>
      <c r="G250" s="14" t="b">
        <v>0</v>
      </c>
      <c r="H250" s="14">
        <v>2</v>
      </c>
      <c r="I250" s="14">
        <v>2</v>
      </c>
      <c r="J250" s="14">
        <v>0.16</v>
      </c>
      <c r="K250">
        <f>VLOOKUP(A250,[1]dataset_2!B:H,2,FALSE)</f>
        <v>0.1515</v>
      </c>
      <c r="L250">
        <f>VLOOKUP(A250,[1]dataset_2!B:H,3,FALSE)</f>
        <v>0.86</v>
      </c>
      <c r="M250">
        <f>VLOOKUP(A250,[1]dataset_2!B:H,4,FALSE)</f>
        <v>0.22389999999999999</v>
      </c>
      <c r="N250">
        <f>VLOOKUP(A250,[1]dataset_2!B:H,5,FALSE)</f>
        <v>6</v>
      </c>
      <c r="O250">
        <f>VLOOKUP(A250,[1]dataset_2!B:H,6,FALSE)</f>
        <v>130</v>
      </c>
      <c r="P250">
        <f>VLOOKUP(A250,[1]dataset_2!B:H,7,FALSE)</f>
        <v>136</v>
      </c>
      <c r="Q250" t="str">
        <f t="shared" si="9"/>
        <v>Weekday</v>
      </c>
      <c r="R250" t="str">
        <f t="shared" si="10"/>
        <v>Afternoon</v>
      </c>
      <c r="S250" t="str">
        <f t="shared" si="11"/>
        <v>High</v>
      </c>
    </row>
    <row r="251" spans="1:19">
      <c r="A251" s="14">
        <v>250</v>
      </c>
      <c r="B251" s="15">
        <v>40554</v>
      </c>
      <c r="C251" s="14">
        <v>1</v>
      </c>
      <c r="D251" s="14">
        <v>0</v>
      </c>
      <c r="E251" s="14">
        <v>1</v>
      </c>
      <c r="F251" s="14">
        <v>18</v>
      </c>
      <c r="G251" s="14" t="b">
        <v>0</v>
      </c>
      <c r="H251" s="14">
        <v>2</v>
      </c>
      <c r="I251" s="14">
        <v>3</v>
      </c>
      <c r="J251" s="14">
        <v>0.16</v>
      </c>
      <c r="K251">
        <f>VLOOKUP(A251,[1]dataset_2!B:H,2,FALSE)</f>
        <v>0.18179999999999999</v>
      </c>
      <c r="L251">
        <f>VLOOKUP(A251,[1]dataset_2!B:H,3,FALSE)</f>
        <v>0.93</v>
      </c>
      <c r="M251">
        <f>VLOOKUP(A251,[1]dataset_2!B:H,4,FALSE)</f>
        <v>0.1045</v>
      </c>
      <c r="N251">
        <f>VLOOKUP(A251,[1]dataset_2!B:H,5,FALSE)</f>
        <v>1</v>
      </c>
      <c r="O251">
        <f>VLOOKUP(A251,[1]dataset_2!B:H,6,FALSE)</f>
        <v>94</v>
      </c>
      <c r="P251">
        <f>VLOOKUP(A251,[1]dataset_2!B:H,7,FALSE)</f>
        <v>95</v>
      </c>
      <c r="Q251" t="str">
        <f t="shared" si="9"/>
        <v>Weekday</v>
      </c>
      <c r="R251" t="str">
        <f t="shared" si="10"/>
        <v>Evening</v>
      </c>
      <c r="S251" t="str">
        <f t="shared" si="11"/>
        <v>Low</v>
      </c>
    </row>
    <row r="252" spans="1:19">
      <c r="A252" s="14">
        <v>251</v>
      </c>
      <c r="B252" s="15">
        <v>40554</v>
      </c>
      <c r="C252" s="14">
        <v>1</v>
      </c>
      <c r="D252" s="14">
        <v>0</v>
      </c>
      <c r="E252" s="14">
        <v>1</v>
      </c>
      <c r="F252" s="14">
        <v>19</v>
      </c>
      <c r="G252" s="14" t="b">
        <v>0</v>
      </c>
      <c r="H252" s="14">
        <v>2</v>
      </c>
      <c r="I252" s="14">
        <v>3</v>
      </c>
      <c r="J252" s="14">
        <v>0.16</v>
      </c>
      <c r="K252">
        <f>VLOOKUP(A252,[1]dataset_2!B:H,2,FALSE)</f>
        <v>0.2273</v>
      </c>
      <c r="L252">
        <f>VLOOKUP(A252,[1]dataset_2!B:H,3,FALSE)</f>
        <v>0.93</v>
      </c>
      <c r="M252">
        <f>VLOOKUP(A252,[1]dataset_2!B:H,4,FALSE)</f>
        <v>0</v>
      </c>
      <c r="N252">
        <f>VLOOKUP(A252,[1]dataset_2!B:H,5,FALSE)</f>
        <v>0</v>
      </c>
      <c r="O252">
        <f>VLOOKUP(A252,[1]dataset_2!B:H,6,FALSE)</f>
        <v>51</v>
      </c>
      <c r="P252">
        <f>VLOOKUP(A252,[1]dataset_2!B:H,7,FALSE)</f>
        <v>51</v>
      </c>
      <c r="Q252" t="str">
        <f t="shared" si="9"/>
        <v>Weekday</v>
      </c>
      <c r="R252" t="str">
        <f t="shared" si="10"/>
        <v>Evening</v>
      </c>
      <c r="S252" t="str">
        <f t="shared" si="11"/>
        <v>Low</v>
      </c>
    </row>
    <row r="253" spans="1:19">
      <c r="A253" s="14">
        <v>252</v>
      </c>
      <c r="B253" s="15">
        <v>40554</v>
      </c>
      <c r="C253" s="14">
        <v>1</v>
      </c>
      <c r="D253" s="14">
        <v>0</v>
      </c>
      <c r="E253" s="14">
        <v>1</v>
      </c>
      <c r="F253" s="14">
        <v>20</v>
      </c>
      <c r="G253" s="14" t="b">
        <v>0</v>
      </c>
      <c r="H253" s="14">
        <v>2</v>
      </c>
      <c r="I253" s="14">
        <v>3</v>
      </c>
      <c r="J253" s="14">
        <v>0.16</v>
      </c>
      <c r="K253">
        <f>VLOOKUP(A253,[1]dataset_2!B:H,2,FALSE)</f>
        <v>0.1515</v>
      </c>
      <c r="L253">
        <f>VLOOKUP(A253,[1]dataset_2!B:H,3,FALSE)</f>
        <v>0.93</v>
      </c>
      <c r="M253">
        <f>VLOOKUP(A253,[1]dataset_2!B:H,4,FALSE)</f>
        <v>0.19400000000000001</v>
      </c>
      <c r="N253">
        <f>VLOOKUP(A253,[1]dataset_2!B:H,5,FALSE)</f>
        <v>0</v>
      </c>
      <c r="O253">
        <f>VLOOKUP(A253,[1]dataset_2!B:H,6,FALSE)</f>
        <v>32</v>
      </c>
      <c r="P253">
        <f>VLOOKUP(A253,[1]dataset_2!B:H,7,FALSE)</f>
        <v>32</v>
      </c>
      <c r="Q253" t="str">
        <f t="shared" si="9"/>
        <v>Weekday</v>
      </c>
      <c r="R253" t="str">
        <f t="shared" si="10"/>
        <v>Evening</v>
      </c>
      <c r="S253" t="str">
        <f t="shared" si="11"/>
        <v>Low</v>
      </c>
    </row>
    <row r="254" spans="1:19">
      <c r="A254" s="14">
        <v>253</v>
      </c>
      <c r="B254" s="15">
        <v>40554</v>
      </c>
      <c r="C254" s="14">
        <v>1</v>
      </c>
      <c r="D254" s="14">
        <v>0</v>
      </c>
      <c r="E254" s="14">
        <v>1</v>
      </c>
      <c r="F254" s="14">
        <v>21</v>
      </c>
      <c r="G254" s="14" t="b">
        <v>0</v>
      </c>
      <c r="H254" s="14">
        <v>2</v>
      </c>
      <c r="I254" s="14">
        <v>3</v>
      </c>
      <c r="J254" s="14">
        <v>0.16</v>
      </c>
      <c r="K254">
        <f>VLOOKUP(A254,[1]dataset_2!B:H,2,FALSE)</f>
        <v>0.19700000000000001</v>
      </c>
      <c r="L254">
        <f>VLOOKUP(A254,[1]dataset_2!B:H,3,FALSE)</f>
        <v>0.86</v>
      </c>
      <c r="M254">
        <f>VLOOKUP(A254,[1]dataset_2!B:H,4,FALSE)</f>
        <v>8.9599999999999999E-2</v>
      </c>
      <c r="N254">
        <f>VLOOKUP(A254,[1]dataset_2!B:H,5,FALSE)</f>
        <v>0</v>
      </c>
      <c r="O254">
        <f>VLOOKUP(A254,[1]dataset_2!B:H,6,FALSE)</f>
        <v>20</v>
      </c>
      <c r="P254">
        <f>VLOOKUP(A254,[1]dataset_2!B:H,7,FALSE)</f>
        <v>20</v>
      </c>
      <c r="Q254" t="str">
        <f t="shared" si="9"/>
        <v>Weekday</v>
      </c>
      <c r="R254" t="str">
        <f t="shared" si="10"/>
        <v>Evening</v>
      </c>
      <c r="S254" t="str">
        <f t="shared" si="11"/>
        <v>Low</v>
      </c>
    </row>
    <row r="255" spans="1:19">
      <c r="A255" s="14">
        <v>254</v>
      </c>
      <c r="B255" s="15">
        <v>40554</v>
      </c>
      <c r="C255" s="14">
        <v>1</v>
      </c>
      <c r="D255" s="14">
        <v>0</v>
      </c>
      <c r="E255" s="14">
        <v>1</v>
      </c>
      <c r="F255" s="14">
        <v>22</v>
      </c>
      <c r="G255" s="14" t="b">
        <v>0</v>
      </c>
      <c r="H255" s="14">
        <v>2</v>
      </c>
      <c r="I255" s="14">
        <v>3</v>
      </c>
      <c r="J255" s="14">
        <v>0.16</v>
      </c>
      <c r="K255">
        <f>VLOOKUP(A255,[1]dataset_2!B:H,2,FALSE)</f>
        <v>0.18179999999999999</v>
      </c>
      <c r="L255">
        <f>VLOOKUP(A255,[1]dataset_2!B:H,3,FALSE)</f>
        <v>0.93</v>
      </c>
      <c r="M255">
        <f>VLOOKUP(A255,[1]dataset_2!B:H,4,FALSE)</f>
        <v>0.1045</v>
      </c>
      <c r="N255">
        <f>VLOOKUP(A255,[1]dataset_2!B:H,5,FALSE)</f>
        <v>1</v>
      </c>
      <c r="O255">
        <f>VLOOKUP(A255,[1]dataset_2!B:H,6,FALSE)</f>
        <v>28</v>
      </c>
      <c r="P255">
        <f>VLOOKUP(A255,[1]dataset_2!B:H,7,FALSE)</f>
        <v>29</v>
      </c>
      <c r="Q255" t="str">
        <f t="shared" si="9"/>
        <v>Weekday</v>
      </c>
      <c r="R255" t="str">
        <f t="shared" si="10"/>
        <v>Evening</v>
      </c>
      <c r="S255" t="str">
        <f t="shared" si="11"/>
        <v>Low</v>
      </c>
    </row>
    <row r="256" spans="1:19">
      <c r="A256" s="14">
        <v>255</v>
      </c>
      <c r="B256" s="15">
        <v>40554</v>
      </c>
      <c r="C256" s="14">
        <v>1</v>
      </c>
      <c r="D256" s="14">
        <v>0</v>
      </c>
      <c r="E256" s="14">
        <v>1</v>
      </c>
      <c r="F256" s="14">
        <v>23</v>
      </c>
      <c r="G256" s="14" t="b">
        <v>0</v>
      </c>
      <c r="H256" s="14">
        <v>2</v>
      </c>
      <c r="I256" s="14">
        <v>3</v>
      </c>
      <c r="J256" s="14">
        <v>0.16</v>
      </c>
      <c r="K256">
        <f>VLOOKUP(A256,[1]dataset_2!B:H,2,FALSE)</f>
        <v>0.19700000000000001</v>
      </c>
      <c r="L256">
        <f>VLOOKUP(A256,[1]dataset_2!B:H,3,FALSE)</f>
        <v>0.93</v>
      </c>
      <c r="M256">
        <f>VLOOKUP(A256,[1]dataset_2!B:H,4,FALSE)</f>
        <v>8.9599999999999999E-2</v>
      </c>
      <c r="N256">
        <f>VLOOKUP(A256,[1]dataset_2!B:H,5,FALSE)</f>
        <v>1</v>
      </c>
      <c r="O256">
        <f>VLOOKUP(A256,[1]dataset_2!B:H,6,FALSE)</f>
        <v>18</v>
      </c>
      <c r="P256">
        <f>VLOOKUP(A256,[1]dataset_2!B:H,7,FALSE)</f>
        <v>19</v>
      </c>
      <c r="Q256" t="str">
        <f t="shared" si="9"/>
        <v>Weekday</v>
      </c>
      <c r="R256" t="str">
        <f t="shared" si="10"/>
        <v>Evening</v>
      </c>
      <c r="S256" t="str">
        <f t="shared" si="11"/>
        <v>Low</v>
      </c>
    </row>
    <row r="257" spans="1:19">
      <c r="A257" s="14">
        <v>256</v>
      </c>
      <c r="B257" s="15">
        <v>40555</v>
      </c>
      <c r="C257" s="14">
        <v>1</v>
      </c>
      <c r="D257" s="14">
        <v>0</v>
      </c>
      <c r="E257" s="14">
        <v>1</v>
      </c>
      <c r="F257" s="14">
        <v>0</v>
      </c>
      <c r="G257" s="14" t="b">
        <v>0</v>
      </c>
      <c r="H257" s="14">
        <v>3</v>
      </c>
      <c r="I257" s="14">
        <v>2</v>
      </c>
      <c r="J257" s="14">
        <v>0.16</v>
      </c>
      <c r="K257">
        <f>VLOOKUP(A257,[1]dataset_2!B:H,2,FALSE)</f>
        <v>0.19700000000000001</v>
      </c>
      <c r="L257">
        <f>VLOOKUP(A257,[1]dataset_2!B:H,3,FALSE)</f>
        <v>0.86</v>
      </c>
      <c r="M257">
        <f>VLOOKUP(A257,[1]dataset_2!B:H,4,FALSE)</f>
        <v>8.9599999999999999E-2</v>
      </c>
      <c r="N257">
        <f>VLOOKUP(A257,[1]dataset_2!B:H,5,FALSE)</f>
        <v>0</v>
      </c>
      <c r="O257">
        <f>VLOOKUP(A257,[1]dataset_2!B:H,6,FALSE)</f>
        <v>7</v>
      </c>
      <c r="P257">
        <f>VLOOKUP(A257,[1]dataset_2!B:H,7,FALSE)</f>
        <v>7</v>
      </c>
      <c r="Q257" t="str">
        <f t="shared" si="9"/>
        <v>Weekday</v>
      </c>
      <c r="R257" t="str">
        <f t="shared" si="10"/>
        <v>Morning</v>
      </c>
      <c r="S257" t="str">
        <f t="shared" si="11"/>
        <v>Low</v>
      </c>
    </row>
    <row r="258" spans="1:19">
      <c r="A258" s="14">
        <v>257</v>
      </c>
      <c r="B258" s="15">
        <v>40555</v>
      </c>
      <c r="C258" s="14">
        <v>1</v>
      </c>
      <c r="D258" s="14">
        <v>0</v>
      </c>
      <c r="E258" s="14">
        <v>1</v>
      </c>
      <c r="F258" s="14">
        <v>1</v>
      </c>
      <c r="G258" s="14" t="b">
        <v>0</v>
      </c>
      <c r="H258" s="14">
        <v>3</v>
      </c>
      <c r="I258" s="14">
        <v>2</v>
      </c>
      <c r="J258" s="14">
        <v>0.16</v>
      </c>
      <c r="K258">
        <f>VLOOKUP(A258,[1]dataset_2!B:H,2,FALSE)</f>
        <v>0.18179999999999999</v>
      </c>
      <c r="L258">
        <f>VLOOKUP(A258,[1]dataset_2!B:H,3,FALSE)</f>
        <v>0.86</v>
      </c>
      <c r="M258">
        <f>VLOOKUP(A258,[1]dataset_2!B:H,4,FALSE)</f>
        <v>0.1045</v>
      </c>
      <c r="N258">
        <f>VLOOKUP(A258,[1]dataset_2!B:H,5,FALSE)</f>
        <v>0</v>
      </c>
      <c r="O258">
        <f>VLOOKUP(A258,[1]dataset_2!B:H,6,FALSE)</f>
        <v>6</v>
      </c>
      <c r="P258">
        <f>VLOOKUP(A258,[1]dataset_2!B:H,7,FALSE)</f>
        <v>6</v>
      </c>
      <c r="Q258" t="str">
        <f t="shared" si="9"/>
        <v>Weekday</v>
      </c>
      <c r="R258" t="str">
        <f t="shared" si="10"/>
        <v>Morning</v>
      </c>
      <c r="S258" t="str">
        <f t="shared" si="11"/>
        <v>Low</v>
      </c>
    </row>
    <row r="259" spans="1:19">
      <c r="A259" s="14">
        <v>258</v>
      </c>
      <c r="B259" s="15">
        <v>40555</v>
      </c>
      <c r="C259" s="14">
        <v>1</v>
      </c>
      <c r="D259" s="14">
        <v>0</v>
      </c>
      <c r="E259" s="14">
        <v>1</v>
      </c>
      <c r="F259" s="14">
        <v>2</v>
      </c>
      <c r="G259" s="14" t="b">
        <v>0</v>
      </c>
      <c r="H259" s="14">
        <v>3</v>
      </c>
      <c r="I259" s="14">
        <v>1</v>
      </c>
      <c r="J259" s="14">
        <v>0.14000000000000001</v>
      </c>
      <c r="K259">
        <f>VLOOKUP(A259,[1]dataset_2!B:H,2,FALSE)</f>
        <v>0.1515</v>
      </c>
      <c r="L259">
        <f>VLOOKUP(A259,[1]dataset_2!B:H,3,FALSE)</f>
        <v>0.86</v>
      </c>
      <c r="M259">
        <f>VLOOKUP(A259,[1]dataset_2!B:H,4,FALSE)</f>
        <v>0.1343</v>
      </c>
      <c r="N259">
        <f>VLOOKUP(A259,[1]dataset_2!B:H,5,FALSE)</f>
        <v>0</v>
      </c>
      <c r="O259">
        <f>VLOOKUP(A259,[1]dataset_2!B:H,6,FALSE)</f>
        <v>1</v>
      </c>
      <c r="P259">
        <f>VLOOKUP(A259,[1]dataset_2!B:H,7,FALSE)</f>
        <v>1</v>
      </c>
      <c r="Q259" t="str">
        <f t="shared" ref="Q259:Q322" si="12">IF(OR(H259=0,H259=6),"Weekend","Weekday")</f>
        <v>Weekday</v>
      </c>
      <c r="R259" t="str">
        <f t="shared" ref="R259:R322" si="13">IF(F259&lt;12,"Morning",IF(F259&lt;18,"Afternoon","Evening"))</f>
        <v>Morning</v>
      </c>
      <c r="S259" t="str">
        <f t="shared" ref="S259:S322" si="14">IF(P259&gt;100,"High","Low")</f>
        <v>Low</v>
      </c>
    </row>
    <row r="260" spans="1:19">
      <c r="A260" s="14">
        <v>259</v>
      </c>
      <c r="B260" s="15">
        <v>40555</v>
      </c>
      <c r="C260" s="14">
        <v>1</v>
      </c>
      <c r="D260" s="14">
        <v>0</v>
      </c>
      <c r="E260" s="14">
        <v>1</v>
      </c>
      <c r="F260" s="14">
        <v>5</v>
      </c>
      <c r="G260" s="14" t="b">
        <v>0</v>
      </c>
      <c r="H260" s="14">
        <v>3</v>
      </c>
      <c r="I260" s="14">
        <v>1</v>
      </c>
      <c r="J260" s="14">
        <v>0.14000000000000001</v>
      </c>
      <c r="K260">
        <f>VLOOKUP(A260,[1]dataset_2!B:H,2,FALSE)</f>
        <v>0.1515</v>
      </c>
      <c r="L260">
        <f>VLOOKUP(A260,[1]dataset_2!B:H,3,FALSE)</f>
        <v>0.86</v>
      </c>
      <c r="M260">
        <f>VLOOKUP(A260,[1]dataset_2!B:H,4,FALSE)</f>
        <v>0.16420000000000001</v>
      </c>
      <c r="N260">
        <f>VLOOKUP(A260,[1]dataset_2!B:H,5,FALSE)</f>
        <v>0</v>
      </c>
      <c r="O260">
        <f>VLOOKUP(A260,[1]dataset_2!B:H,6,FALSE)</f>
        <v>5</v>
      </c>
      <c r="P260">
        <f>VLOOKUP(A260,[1]dataset_2!B:H,7,FALSE)</f>
        <v>5</v>
      </c>
      <c r="Q260" t="str">
        <f t="shared" si="12"/>
        <v>Weekday</v>
      </c>
      <c r="R260" t="str">
        <f t="shared" si="13"/>
        <v>Morning</v>
      </c>
      <c r="S260" t="str">
        <f t="shared" si="14"/>
        <v>Low</v>
      </c>
    </row>
    <row r="261" spans="1:19">
      <c r="A261" s="14">
        <v>260</v>
      </c>
      <c r="B261" s="15">
        <v>40555</v>
      </c>
      <c r="C261" s="14">
        <v>1</v>
      </c>
      <c r="D261" s="14">
        <v>0</v>
      </c>
      <c r="E261" s="14">
        <v>1</v>
      </c>
      <c r="F261" s="14">
        <v>6</v>
      </c>
      <c r="G261" s="14" t="b">
        <v>0</v>
      </c>
      <c r="H261" s="14">
        <v>3</v>
      </c>
      <c r="I261" s="14">
        <v>1</v>
      </c>
      <c r="J261" s="14">
        <v>0.12</v>
      </c>
      <c r="K261">
        <f>VLOOKUP(A261,[1]dataset_2!B:H,2,FALSE)</f>
        <v>0.1515</v>
      </c>
      <c r="L261">
        <f>VLOOKUP(A261,[1]dataset_2!B:H,3,FALSE)</f>
        <v>0.93</v>
      </c>
      <c r="M261">
        <f>VLOOKUP(A261,[1]dataset_2!B:H,4,FALSE)</f>
        <v>0.1343</v>
      </c>
      <c r="N261">
        <f>VLOOKUP(A261,[1]dataset_2!B:H,5,FALSE)</f>
        <v>0</v>
      </c>
      <c r="O261">
        <f>VLOOKUP(A261,[1]dataset_2!B:H,6,FALSE)</f>
        <v>16</v>
      </c>
      <c r="P261">
        <f>VLOOKUP(A261,[1]dataset_2!B:H,7,FALSE)</f>
        <v>16</v>
      </c>
      <c r="Q261" t="str">
        <f t="shared" si="12"/>
        <v>Weekday</v>
      </c>
      <c r="R261" t="str">
        <f t="shared" si="13"/>
        <v>Morning</v>
      </c>
      <c r="S261" t="str">
        <f t="shared" si="14"/>
        <v>Low</v>
      </c>
    </row>
    <row r="262" spans="1:19">
      <c r="A262" s="14">
        <v>261</v>
      </c>
      <c r="B262" s="15">
        <v>40555</v>
      </c>
      <c r="C262" s="14">
        <v>1</v>
      </c>
      <c r="D262" s="14">
        <v>0</v>
      </c>
      <c r="E262" s="14">
        <v>1</v>
      </c>
      <c r="F262" s="14">
        <v>7</v>
      </c>
      <c r="G262" s="14" t="b">
        <v>0</v>
      </c>
      <c r="H262" s="14">
        <v>3</v>
      </c>
      <c r="I262" s="14">
        <v>1</v>
      </c>
      <c r="J262" s="14">
        <v>0.14000000000000001</v>
      </c>
      <c r="K262">
        <f>VLOOKUP(A262,[1]dataset_2!B:H,2,FALSE)</f>
        <v>0.1515</v>
      </c>
      <c r="L262">
        <f>VLOOKUP(A262,[1]dataset_2!B:H,3,FALSE)</f>
        <v>0.69</v>
      </c>
      <c r="M262">
        <f>VLOOKUP(A262,[1]dataset_2!B:H,4,FALSE)</f>
        <v>0.1343</v>
      </c>
      <c r="N262">
        <f>VLOOKUP(A262,[1]dataset_2!B:H,5,FALSE)</f>
        <v>0</v>
      </c>
      <c r="O262">
        <f>VLOOKUP(A262,[1]dataset_2!B:H,6,FALSE)</f>
        <v>54</v>
      </c>
      <c r="P262">
        <f>VLOOKUP(A262,[1]dataset_2!B:H,7,FALSE)</f>
        <v>54</v>
      </c>
      <c r="Q262" t="str">
        <f t="shared" si="12"/>
        <v>Weekday</v>
      </c>
      <c r="R262" t="str">
        <f t="shared" si="13"/>
        <v>Morning</v>
      </c>
      <c r="S262" t="str">
        <f t="shared" si="14"/>
        <v>Low</v>
      </c>
    </row>
    <row r="263" spans="1:19">
      <c r="A263" s="14">
        <v>262</v>
      </c>
      <c r="B263" s="15">
        <v>40555</v>
      </c>
      <c r="C263" s="14">
        <v>1</v>
      </c>
      <c r="D263" s="14">
        <v>0</v>
      </c>
      <c r="E263" s="14">
        <v>1</v>
      </c>
      <c r="F263" s="14">
        <v>8</v>
      </c>
      <c r="G263" s="14" t="b">
        <v>0</v>
      </c>
      <c r="H263" s="14">
        <v>3</v>
      </c>
      <c r="I263" s="14">
        <v>1</v>
      </c>
      <c r="J263" s="14">
        <v>0.16</v>
      </c>
      <c r="K263">
        <f>VLOOKUP(A263,[1]dataset_2!B:H,2,FALSE)</f>
        <v>0.16669999999999999</v>
      </c>
      <c r="L263">
        <f>VLOOKUP(A263,[1]dataset_2!B:H,3,FALSE)</f>
        <v>0.59</v>
      </c>
      <c r="M263">
        <f>VLOOKUP(A263,[1]dataset_2!B:H,4,FALSE)</f>
        <v>0.16420000000000001</v>
      </c>
      <c r="N263">
        <f>VLOOKUP(A263,[1]dataset_2!B:H,5,FALSE)</f>
        <v>3</v>
      </c>
      <c r="O263">
        <f>VLOOKUP(A263,[1]dataset_2!B:H,6,FALSE)</f>
        <v>125</v>
      </c>
      <c r="P263">
        <f>VLOOKUP(A263,[1]dataset_2!B:H,7,FALSE)</f>
        <v>128</v>
      </c>
      <c r="Q263" t="str">
        <f t="shared" si="12"/>
        <v>Weekday</v>
      </c>
      <c r="R263" t="str">
        <f t="shared" si="13"/>
        <v>Morning</v>
      </c>
      <c r="S263" t="str">
        <f t="shared" si="14"/>
        <v>High</v>
      </c>
    </row>
    <row r="264" spans="1:19">
      <c r="A264" s="14">
        <v>263</v>
      </c>
      <c r="B264" s="15">
        <v>40555</v>
      </c>
      <c r="C264" s="14">
        <v>1</v>
      </c>
      <c r="D264" s="14">
        <v>0</v>
      </c>
      <c r="E264" s="14">
        <v>1</v>
      </c>
      <c r="F264" s="14">
        <v>9</v>
      </c>
      <c r="G264" s="14" t="b">
        <v>0</v>
      </c>
      <c r="H264" s="14">
        <v>3</v>
      </c>
      <c r="I264" s="14">
        <v>1</v>
      </c>
      <c r="J264" s="14">
        <v>0.16</v>
      </c>
      <c r="K264">
        <f>VLOOKUP(A264,[1]dataset_2!B:H,2,FALSE)</f>
        <v>0.13639999999999999</v>
      </c>
      <c r="L264">
        <f>VLOOKUP(A264,[1]dataset_2!B:H,3,FALSE)</f>
        <v>0.59</v>
      </c>
      <c r="M264">
        <f>VLOOKUP(A264,[1]dataset_2!B:H,4,FALSE)</f>
        <v>0.32840000000000003</v>
      </c>
      <c r="N264">
        <f>VLOOKUP(A264,[1]dataset_2!B:H,5,FALSE)</f>
        <v>3</v>
      </c>
      <c r="O264">
        <f>VLOOKUP(A264,[1]dataset_2!B:H,6,FALSE)</f>
        <v>78</v>
      </c>
      <c r="P264">
        <f>VLOOKUP(A264,[1]dataset_2!B:H,7,FALSE)</f>
        <v>81</v>
      </c>
      <c r="Q264" t="str">
        <f t="shared" si="12"/>
        <v>Weekday</v>
      </c>
      <c r="R264" t="str">
        <f t="shared" si="13"/>
        <v>Morning</v>
      </c>
      <c r="S264" t="str">
        <f t="shared" si="14"/>
        <v>Low</v>
      </c>
    </row>
    <row r="265" spans="1:19">
      <c r="A265" s="14">
        <v>264</v>
      </c>
      <c r="B265" s="15">
        <v>40555</v>
      </c>
      <c r="C265" s="14">
        <v>1</v>
      </c>
      <c r="D265" s="14">
        <v>0</v>
      </c>
      <c r="E265" s="14">
        <v>1</v>
      </c>
      <c r="F265" s="14">
        <v>10</v>
      </c>
      <c r="G265" s="14" t="b">
        <v>0</v>
      </c>
      <c r="H265" s="14">
        <v>3</v>
      </c>
      <c r="I265" s="14">
        <v>1</v>
      </c>
      <c r="J265" s="14">
        <v>0.18</v>
      </c>
      <c r="K265">
        <f>VLOOKUP(A265,[1]dataset_2!B:H,2,FALSE)</f>
        <v>0.18179999999999999</v>
      </c>
      <c r="L265">
        <f>VLOOKUP(A265,[1]dataset_2!B:H,3,FALSE)</f>
        <v>0.55000000000000004</v>
      </c>
      <c r="M265">
        <f>VLOOKUP(A265,[1]dataset_2!B:H,4,FALSE)</f>
        <v>0.22389999999999999</v>
      </c>
      <c r="N265">
        <f>VLOOKUP(A265,[1]dataset_2!B:H,5,FALSE)</f>
        <v>0</v>
      </c>
      <c r="O265">
        <f>VLOOKUP(A265,[1]dataset_2!B:H,6,FALSE)</f>
        <v>39</v>
      </c>
      <c r="P265">
        <f>VLOOKUP(A265,[1]dataset_2!B:H,7,FALSE)</f>
        <v>39</v>
      </c>
      <c r="Q265" t="str">
        <f t="shared" si="12"/>
        <v>Weekday</v>
      </c>
      <c r="R265" t="str">
        <f t="shared" si="13"/>
        <v>Morning</v>
      </c>
      <c r="S265" t="str">
        <f t="shared" si="14"/>
        <v>Low</v>
      </c>
    </row>
    <row r="266" spans="1:19">
      <c r="A266" s="14">
        <v>265</v>
      </c>
      <c r="B266" s="15">
        <v>40555</v>
      </c>
      <c r="C266" s="14">
        <v>1</v>
      </c>
      <c r="D266" s="14">
        <v>0</v>
      </c>
      <c r="E266" s="14">
        <v>1</v>
      </c>
      <c r="F266" s="14">
        <v>11</v>
      </c>
      <c r="G266" s="14" t="b">
        <v>0</v>
      </c>
      <c r="H266" s="14">
        <v>3</v>
      </c>
      <c r="I266" s="14">
        <v>1</v>
      </c>
      <c r="J266" s="14">
        <v>0.2</v>
      </c>
      <c r="K266">
        <f>VLOOKUP(A266,[1]dataset_2!B:H,2,FALSE)</f>
        <v>0.18179999999999999</v>
      </c>
      <c r="L266">
        <f>VLOOKUP(A266,[1]dataset_2!B:H,3,FALSE)</f>
        <v>0.51</v>
      </c>
      <c r="M266">
        <f>VLOOKUP(A266,[1]dataset_2!B:H,4,FALSE)</f>
        <v>0.3881</v>
      </c>
      <c r="N266">
        <f>VLOOKUP(A266,[1]dataset_2!B:H,5,FALSE)</f>
        <v>3</v>
      </c>
      <c r="O266">
        <f>VLOOKUP(A266,[1]dataset_2!B:H,6,FALSE)</f>
        <v>32</v>
      </c>
      <c r="P266">
        <f>VLOOKUP(A266,[1]dataset_2!B:H,7,FALSE)</f>
        <v>35</v>
      </c>
      <c r="Q266" t="str">
        <f t="shared" si="12"/>
        <v>Weekday</v>
      </c>
      <c r="R266" t="str">
        <f t="shared" si="13"/>
        <v>Morning</v>
      </c>
      <c r="S266" t="str">
        <f t="shared" si="14"/>
        <v>Low</v>
      </c>
    </row>
    <row r="267" spans="1:19">
      <c r="A267" s="14">
        <v>266</v>
      </c>
      <c r="B267" s="15">
        <v>40555</v>
      </c>
      <c r="C267" s="14">
        <v>1</v>
      </c>
      <c r="D267" s="14">
        <v>0</v>
      </c>
      <c r="E267" s="14">
        <v>1</v>
      </c>
      <c r="F267" s="14">
        <v>12</v>
      </c>
      <c r="G267" s="14" t="b">
        <v>0</v>
      </c>
      <c r="H267" s="14">
        <v>3</v>
      </c>
      <c r="I267" s="14">
        <v>1</v>
      </c>
      <c r="J267" s="14">
        <v>0.2</v>
      </c>
      <c r="K267">
        <f>VLOOKUP(A267,[1]dataset_2!B:H,2,FALSE)</f>
        <v>0.1515</v>
      </c>
      <c r="L267">
        <f>VLOOKUP(A267,[1]dataset_2!B:H,3,FALSE)</f>
        <v>0.47</v>
      </c>
      <c r="M267">
        <f>VLOOKUP(A267,[1]dataset_2!B:H,4,FALSE)</f>
        <v>0.58209999999999995</v>
      </c>
      <c r="N267">
        <f>VLOOKUP(A267,[1]dataset_2!B:H,5,FALSE)</f>
        <v>3</v>
      </c>
      <c r="O267">
        <f>VLOOKUP(A267,[1]dataset_2!B:H,6,FALSE)</f>
        <v>52</v>
      </c>
      <c r="P267">
        <f>VLOOKUP(A267,[1]dataset_2!B:H,7,FALSE)</f>
        <v>55</v>
      </c>
      <c r="Q267" t="str">
        <f t="shared" si="12"/>
        <v>Weekday</v>
      </c>
      <c r="R267" t="str">
        <f t="shared" si="13"/>
        <v>Afternoon</v>
      </c>
      <c r="S267" t="str">
        <f t="shared" si="14"/>
        <v>Low</v>
      </c>
    </row>
    <row r="268" spans="1:19">
      <c r="A268" s="14">
        <v>267</v>
      </c>
      <c r="B268" s="15">
        <v>40555</v>
      </c>
      <c r="C268" s="14">
        <v>1</v>
      </c>
      <c r="D268" s="14">
        <v>0</v>
      </c>
      <c r="E268" s="14">
        <v>1</v>
      </c>
      <c r="F268" s="14">
        <v>13</v>
      </c>
      <c r="G268" s="14" t="b">
        <v>0</v>
      </c>
      <c r="H268" s="14">
        <v>3</v>
      </c>
      <c r="I268" s="14">
        <v>1</v>
      </c>
      <c r="J268" s="14">
        <v>0.22</v>
      </c>
      <c r="K268">
        <f>VLOOKUP(A268,[1]dataset_2!B:H,2,FALSE)</f>
        <v>0.19700000000000001</v>
      </c>
      <c r="L268">
        <f>VLOOKUP(A268,[1]dataset_2!B:H,3,FALSE)</f>
        <v>0.44</v>
      </c>
      <c r="M268">
        <f>VLOOKUP(A268,[1]dataset_2!B:H,4,FALSE)</f>
        <v>0.35820000000000002</v>
      </c>
      <c r="N268">
        <f>VLOOKUP(A268,[1]dataset_2!B:H,5,FALSE)</f>
        <v>0</v>
      </c>
      <c r="O268">
        <f>VLOOKUP(A268,[1]dataset_2!B:H,6,FALSE)</f>
        <v>49</v>
      </c>
      <c r="P268">
        <f>VLOOKUP(A268,[1]dataset_2!B:H,7,FALSE)</f>
        <v>49</v>
      </c>
      <c r="Q268" t="str">
        <f t="shared" si="12"/>
        <v>Weekday</v>
      </c>
      <c r="R268" t="str">
        <f t="shared" si="13"/>
        <v>Afternoon</v>
      </c>
      <c r="S268" t="str">
        <f t="shared" si="14"/>
        <v>Low</v>
      </c>
    </row>
    <row r="269" spans="1:19">
      <c r="A269" s="14">
        <v>268</v>
      </c>
      <c r="B269" s="15">
        <v>40555</v>
      </c>
      <c r="C269" s="14">
        <v>1</v>
      </c>
      <c r="D269" s="14">
        <v>0</v>
      </c>
      <c r="E269" s="14">
        <v>1</v>
      </c>
      <c r="F269" s="14">
        <v>14</v>
      </c>
      <c r="G269" s="14" t="b">
        <v>0</v>
      </c>
      <c r="H269" s="14">
        <v>3</v>
      </c>
      <c r="I269" s="14">
        <v>1</v>
      </c>
      <c r="J269" s="14">
        <v>0.2</v>
      </c>
      <c r="K269">
        <f>VLOOKUP(A269,[1]dataset_2!B:H,2,FALSE)</f>
        <v>0.18179999999999999</v>
      </c>
      <c r="L269">
        <f>VLOOKUP(A269,[1]dataset_2!B:H,3,FALSE)</f>
        <v>0.47</v>
      </c>
      <c r="M269">
        <f>VLOOKUP(A269,[1]dataset_2!B:H,4,FALSE)</f>
        <v>0.32840000000000003</v>
      </c>
      <c r="N269">
        <f>VLOOKUP(A269,[1]dataset_2!B:H,5,FALSE)</f>
        <v>0</v>
      </c>
      <c r="O269">
        <f>VLOOKUP(A269,[1]dataset_2!B:H,6,FALSE)</f>
        <v>44</v>
      </c>
      <c r="P269">
        <f>VLOOKUP(A269,[1]dataset_2!B:H,7,FALSE)</f>
        <v>44</v>
      </c>
      <c r="Q269" t="str">
        <f t="shared" si="12"/>
        <v>Weekday</v>
      </c>
      <c r="R269" t="str">
        <f t="shared" si="13"/>
        <v>Afternoon</v>
      </c>
      <c r="S269" t="str">
        <f t="shared" si="14"/>
        <v>Low</v>
      </c>
    </row>
    <row r="270" spans="1:19">
      <c r="A270" s="14">
        <v>269</v>
      </c>
      <c r="B270" s="15">
        <v>40555</v>
      </c>
      <c r="C270" s="14">
        <v>1</v>
      </c>
      <c r="D270" s="14">
        <v>0</v>
      </c>
      <c r="E270" s="14">
        <v>1</v>
      </c>
      <c r="F270" s="14">
        <v>15</v>
      </c>
      <c r="G270" s="14" t="b">
        <v>0</v>
      </c>
      <c r="H270" s="14">
        <v>3</v>
      </c>
      <c r="I270" s="14">
        <v>1</v>
      </c>
      <c r="J270" s="14">
        <v>0.2</v>
      </c>
      <c r="K270">
        <f>VLOOKUP(A270,[1]dataset_2!B:H,2,FALSE)</f>
        <v>0.16669999999999999</v>
      </c>
      <c r="L270">
        <f>VLOOKUP(A270,[1]dataset_2!B:H,3,FALSE)</f>
        <v>0.47</v>
      </c>
      <c r="M270">
        <f>VLOOKUP(A270,[1]dataset_2!B:H,4,FALSE)</f>
        <v>0.41789999999999999</v>
      </c>
      <c r="N270">
        <f>VLOOKUP(A270,[1]dataset_2!B:H,5,FALSE)</f>
        <v>1</v>
      </c>
      <c r="O270">
        <f>VLOOKUP(A270,[1]dataset_2!B:H,6,FALSE)</f>
        <v>48</v>
      </c>
      <c r="P270">
        <f>VLOOKUP(A270,[1]dataset_2!B:H,7,FALSE)</f>
        <v>49</v>
      </c>
      <c r="Q270" t="str">
        <f t="shared" si="12"/>
        <v>Weekday</v>
      </c>
      <c r="R270" t="str">
        <f t="shared" si="13"/>
        <v>Afternoon</v>
      </c>
      <c r="S270" t="str">
        <f t="shared" si="14"/>
        <v>Low</v>
      </c>
    </row>
    <row r="271" spans="1:19">
      <c r="A271" s="14">
        <v>270</v>
      </c>
      <c r="B271" s="15">
        <v>40555</v>
      </c>
      <c r="C271" s="14">
        <v>1</v>
      </c>
      <c r="D271" s="14">
        <v>0</v>
      </c>
      <c r="E271" s="14">
        <v>1</v>
      </c>
      <c r="F271" s="14">
        <v>16</v>
      </c>
      <c r="G271" s="14" t="b">
        <v>0</v>
      </c>
      <c r="H271" s="14">
        <v>3</v>
      </c>
      <c r="I271" s="14">
        <v>1</v>
      </c>
      <c r="J271" s="14">
        <v>0.22</v>
      </c>
      <c r="K271">
        <f>VLOOKUP(A271,[1]dataset_2!B:H,2,FALSE)</f>
        <v>0.19700000000000001</v>
      </c>
      <c r="L271">
        <f>VLOOKUP(A271,[1]dataset_2!B:H,3,FALSE)</f>
        <v>0.44</v>
      </c>
      <c r="M271">
        <f>VLOOKUP(A271,[1]dataset_2!B:H,4,FALSE)</f>
        <v>0.32840000000000003</v>
      </c>
      <c r="N271">
        <f>VLOOKUP(A271,[1]dataset_2!B:H,5,FALSE)</f>
        <v>5</v>
      </c>
      <c r="O271">
        <f>VLOOKUP(A271,[1]dataset_2!B:H,6,FALSE)</f>
        <v>63</v>
      </c>
      <c r="P271">
        <f>VLOOKUP(A271,[1]dataset_2!B:H,7,FALSE)</f>
        <v>68</v>
      </c>
      <c r="Q271" t="str">
        <f t="shared" si="12"/>
        <v>Weekday</v>
      </c>
      <c r="R271" t="str">
        <f t="shared" si="13"/>
        <v>Afternoon</v>
      </c>
      <c r="S271" t="str">
        <f t="shared" si="14"/>
        <v>Low</v>
      </c>
    </row>
    <row r="272" spans="1:19">
      <c r="A272" s="14">
        <v>271</v>
      </c>
      <c r="B272" s="15">
        <v>40555</v>
      </c>
      <c r="C272" s="14">
        <v>1</v>
      </c>
      <c r="D272" s="14">
        <v>0</v>
      </c>
      <c r="E272" s="14">
        <v>1</v>
      </c>
      <c r="F272" s="14">
        <v>17</v>
      </c>
      <c r="G272" s="14" t="b">
        <v>0</v>
      </c>
      <c r="H272" s="14">
        <v>3</v>
      </c>
      <c r="I272" s="14">
        <v>1</v>
      </c>
      <c r="J272" s="14">
        <v>0.2</v>
      </c>
      <c r="K272">
        <f>VLOOKUP(A272,[1]dataset_2!B:H,2,FALSE)</f>
        <v>0.18179999999999999</v>
      </c>
      <c r="L272">
        <f>VLOOKUP(A272,[1]dataset_2!B:H,3,FALSE)</f>
        <v>0.47</v>
      </c>
      <c r="M272">
        <f>VLOOKUP(A272,[1]dataset_2!B:H,4,FALSE)</f>
        <v>0.35820000000000002</v>
      </c>
      <c r="N272">
        <f>VLOOKUP(A272,[1]dataset_2!B:H,5,FALSE)</f>
        <v>0</v>
      </c>
      <c r="O272">
        <f>VLOOKUP(A272,[1]dataset_2!B:H,6,FALSE)</f>
        <v>139</v>
      </c>
      <c r="P272">
        <f>VLOOKUP(A272,[1]dataset_2!B:H,7,FALSE)</f>
        <v>139</v>
      </c>
      <c r="Q272" t="str">
        <f t="shared" si="12"/>
        <v>Weekday</v>
      </c>
      <c r="R272" t="str">
        <f t="shared" si="13"/>
        <v>Afternoon</v>
      </c>
      <c r="S272" t="str">
        <f t="shared" si="14"/>
        <v>High</v>
      </c>
    </row>
    <row r="273" spans="1:19">
      <c r="A273" s="14">
        <v>272</v>
      </c>
      <c r="B273" s="15">
        <v>40555</v>
      </c>
      <c r="C273" s="14">
        <v>1</v>
      </c>
      <c r="D273" s="14">
        <v>0</v>
      </c>
      <c r="E273" s="14">
        <v>1</v>
      </c>
      <c r="F273" s="14">
        <v>18</v>
      </c>
      <c r="G273" s="14" t="b">
        <v>0</v>
      </c>
      <c r="H273" s="14">
        <v>3</v>
      </c>
      <c r="I273" s="14">
        <v>1</v>
      </c>
      <c r="J273" s="14">
        <v>0.2</v>
      </c>
      <c r="K273">
        <f>VLOOKUP(A273,[1]dataset_2!B:H,2,FALSE)</f>
        <v>0.1515</v>
      </c>
      <c r="L273">
        <f>VLOOKUP(A273,[1]dataset_2!B:H,3,FALSE)</f>
        <v>0.47</v>
      </c>
      <c r="M273">
        <f>VLOOKUP(A273,[1]dataset_2!B:H,4,FALSE)</f>
        <v>0.52239999999999998</v>
      </c>
      <c r="N273">
        <f>VLOOKUP(A273,[1]dataset_2!B:H,5,FALSE)</f>
        <v>2</v>
      </c>
      <c r="O273">
        <f>VLOOKUP(A273,[1]dataset_2!B:H,6,FALSE)</f>
        <v>135</v>
      </c>
      <c r="P273">
        <f>VLOOKUP(A273,[1]dataset_2!B:H,7,FALSE)</f>
        <v>137</v>
      </c>
      <c r="Q273" t="str">
        <f t="shared" si="12"/>
        <v>Weekday</v>
      </c>
      <c r="R273" t="str">
        <f t="shared" si="13"/>
        <v>Evening</v>
      </c>
      <c r="S273" t="str">
        <f t="shared" si="14"/>
        <v>High</v>
      </c>
    </row>
    <row r="274" spans="1:19">
      <c r="A274" s="14">
        <v>273</v>
      </c>
      <c r="B274" s="15">
        <v>40555</v>
      </c>
      <c r="C274" s="14">
        <v>1</v>
      </c>
      <c r="D274" s="14">
        <v>0</v>
      </c>
      <c r="E274" s="14">
        <v>1</v>
      </c>
      <c r="F274" s="14">
        <v>19</v>
      </c>
      <c r="G274" s="14" t="b">
        <v>0</v>
      </c>
      <c r="H274" s="14">
        <v>3</v>
      </c>
      <c r="I274" s="14">
        <v>1</v>
      </c>
      <c r="J274" s="14">
        <v>0.18</v>
      </c>
      <c r="K274">
        <f>VLOOKUP(A274,[1]dataset_2!B:H,2,FALSE)</f>
        <v>0.1515</v>
      </c>
      <c r="L274">
        <f>VLOOKUP(A274,[1]dataset_2!B:H,3,FALSE)</f>
        <v>0.47</v>
      </c>
      <c r="M274">
        <f>VLOOKUP(A274,[1]dataset_2!B:H,4,FALSE)</f>
        <v>0.41789999999999999</v>
      </c>
      <c r="N274">
        <f>VLOOKUP(A274,[1]dataset_2!B:H,5,FALSE)</f>
        <v>1</v>
      </c>
      <c r="O274">
        <f>VLOOKUP(A274,[1]dataset_2!B:H,6,FALSE)</f>
        <v>82</v>
      </c>
      <c r="P274">
        <f>VLOOKUP(A274,[1]dataset_2!B:H,7,FALSE)</f>
        <v>83</v>
      </c>
      <c r="Q274" t="str">
        <f t="shared" si="12"/>
        <v>Weekday</v>
      </c>
      <c r="R274" t="str">
        <f t="shared" si="13"/>
        <v>Evening</v>
      </c>
      <c r="S274" t="str">
        <f t="shared" si="14"/>
        <v>Low</v>
      </c>
    </row>
    <row r="275" spans="1:19">
      <c r="A275" s="14">
        <v>274</v>
      </c>
      <c r="B275" s="15">
        <v>40555</v>
      </c>
      <c r="C275" s="14">
        <v>1</v>
      </c>
      <c r="D275" s="14">
        <v>0</v>
      </c>
      <c r="E275" s="14">
        <v>1</v>
      </c>
      <c r="F275" s="14">
        <v>20</v>
      </c>
      <c r="G275" s="14" t="b">
        <v>0</v>
      </c>
      <c r="H275" s="14">
        <v>3</v>
      </c>
      <c r="I275" s="14">
        <v>1</v>
      </c>
      <c r="J275" s="14">
        <v>0.16</v>
      </c>
      <c r="K275">
        <f>VLOOKUP(A275,[1]dataset_2!B:H,2,FALSE)</f>
        <v>0.13639999999999999</v>
      </c>
      <c r="L275">
        <f>VLOOKUP(A275,[1]dataset_2!B:H,3,FALSE)</f>
        <v>0.5</v>
      </c>
      <c r="M275">
        <f>VLOOKUP(A275,[1]dataset_2!B:H,4,FALSE)</f>
        <v>0.32840000000000003</v>
      </c>
      <c r="N275">
        <f>VLOOKUP(A275,[1]dataset_2!B:H,5,FALSE)</f>
        <v>2</v>
      </c>
      <c r="O275">
        <f>VLOOKUP(A275,[1]dataset_2!B:H,6,FALSE)</f>
        <v>54</v>
      </c>
      <c r="P275">
        <f>VLOOKUP(A275,[1]dataset_2!B:H,7,FALSE)</f>
        <v>56</v>
      </c>
      <c r="Q275" t="str">
        <f t="shared" si="12"/>
        <v>Weekday</v>
      </c>
      <c r="R275" t="str">
        <f t="shared" si="13"/>
        <v>Evening</v>
      </c>
      <c r="S275" t="str">
        <f t="shared" si="14"/>
        <v>Low</v>
      </c>
    </row>
    <row r="276" spans="1:19">
      <c r="A276" s="14">
        <v>275</v>
      </c>
      <c r="B276" s="15">
        <v>40555</v>
      </c>
      <c r="C276" s="14">
        <v>1</v>
      </c>
      <c r="D276" s="14">
        <v>0</v>
      </c>
      <c r="E276" s="14">
        <v>1</v>
      </c>
      <c r="F276" s="14">
        <v>21</v>
      </c>
      <c r="G276" s="14" t="b">
        <v>0</v>
      </c>
      <c r="H276" s="14">
        <v>3</v>
      </c>
      <c r="I276" s="14">
        <v>1</v>
      </c>
      <c r="J276" s="14">
        <v>0.16</v>
      </c>
      <c r="K276">
        <f>VLOOKUP(A276,[1]dataset_2!B:H,2,FALSE)</f>
        <v>0.13639999999999999</v>
      </c>
      <c r="L276">
        <f>VLOOKUP(A276,[1]dataset_2!B:H,3,FALSE)</f>
        <v>0.55000000000000004</v>
      </c>
      <c r="M276">
        <f>VLOOKUP(A276,[1]dataset_2!B:H,4,FALSE)</f>
        <v>0.32840000000000003</v>
      </c>
      <c r="N276">
        <f>VLOOKUP(A276,[1]dataset_2!B:H,5,FALSE)</f>
        <v>0</v>
      </c>
      <c r="O276">
        <f>VLOOKUP(A276,[1]dataset_2!B:H,6,FALSE)</f>
        <v>57</v>
      </c>
      <c r="P276">
        <f>VLOOKUP(A276,[1]dataset_2!B:H,7,FALSE)</f>
        <v>57</v>
      </c>
      <c r="Q276" t="str">
        <f t="shared" si="12"/>
        <v>Weekday</v>
      </c>
      <c r="R276" t="str">
        <f t="shared" si="13"/>
        <v>Evening</v>
      </c>
      <c r="S276" t="str">
        <f t="shared" si="14"/>
        <v>Low</v>
      </c>
    </row>
    <row r="277" spans="1:19">
      <c r="A277" s="14">
        <v>276</v>
      </c>
      <c r="B277" s="15">
        <v>40555</v>
      </c>
      <c r="C277" s="14">
        <v>1</v>
      </c>
      <c r="D277" s="14">
        <v>0</v>
      </c>
      <c r="E277" s="14">
        <v>1</v>
      </c>
      <c r="F277" s="14">
        <v>22</v>
      </c>
      <c r="G277" s="14" t="b">
        <v>0</v>
      </c>
      <c r="H277" s="14">
        <v>3</v>
      </c>
      <c r="I277" s="14">
        <v>1</v>
      </c>
      <c r="J277" s="14">
        <v>0.16</v>
      </c>
      <c r="K277">
        <f>VLOOKUP(A277,[1]dataset_2!B:H,2,FALSE)</f>
        <v>0.1212</v>
      </c>
      <c r="L277">
        <f>VLOOKUP(A277,[1]dataset_2!B:H,3,FALSE)</f>
        <v>0.55000000000000004</v>
      </c>
      <c r="M277">
        <f>VLOOKUP(A277,[1]dataset_2!B:H,4,FALSE)</f>
        <v>0.44779999999999998</v>
      </c>
      <c r="N277">
        <f>VLOOKUP(A277,[1]dataset_2!B:H,5,FALSE)</f>
        <v>1</v>
      </c>
      <c r="O277">
        <f>VLOOKUP(A277,[1]dataset_2!B:H,6,FALSE)</f>
        <v>32</v>
      </c>
      <c r="P277">
        <f>VLOOKUP(A277,[1]dataset_2!B:H,7,FALSE)</f>
        <v>33</v>
      </c>
      <c r="Q277" t="str">
        <f t="shared" si="12"/>
        <v>Weekday</v>
      </c>
      <c r="R277" t="str">
        <f t="shared" si="13"/>
        <v>Evening</v>
      </c>
      <c r="S277" t="str">
        <f t="shared" si="14"/>
        <v>Low</v>
      </c>
    </row>
    <row r="278" spans="1:19">
      <c r="A278" s="14">
        <v>277</v>
      </c>
      <c r="B278" s="15">
        <v>40555</v>
      </c>
      <c r="C278" s="14">
        <v>1</v>
      </c>
      <c r="D278" s="14">
        <v>0</v>
      </c>
      <c r="E278" s="14">
        <v>1</v>
      </c>
      <c r="F278" s="14">
        <v>23</v>
      </c>
      <c r="G278" s="14" t="b">
        <v>0</v>
      </c>
      <c r="H278" s="14">
        <v>3</v>
      </c>
      <c r="I278" s="14">
        <v>1</v>
      </c>
      <c r="J278" s="14">
        <v>0.14000000000000001</v>
      </c>
      <c r="K278">
        <f>VLOOKUP(A278,[1]dataset_2!B:H,2,FALSE)</f>
        <v>0.1061</v>
      </c>
      <c r="L278">
        <f>VLOOKUP(A278,[1]dataset_2!B:H,3,FALSE)</f>
        <v>0.59</v>
      </c>
      <c r="M278">
        <f>VLOOKUP(A278,[1]dataset_2!B:H,4,FALSE)</f>
        <v>0.41789999999999999</v>
      </c>
      <c r="N278">
        <f>VLOOKUP(A278,[1]dataset_2!B:H,5,FALSE)</f>
        <v>1</v>
      </c>
      <c r="O278">
        <f>VLOOKUP(A278,[1]dataset_2!B:H,6,FALSE)</f>
        <v>19</v>
      </c>
      <c r="P278">
        <f>VLOOKUP(A278,[1]dataset_2!B:H,7,FALSE)</f>
        <v>20</v>
      </c>
      <c r="Q278" t="str">
        <f t="shared" si="12"/>
        <v>Weekday</v>
      </c>
      <c r="R278" t="str">
        <f t="shared" si="13"/>
        <v>Evening</v>
      </c>
      <c r="S278" t="str">
        <f t="shared" si="14"/>
        <v>Low</v>
      </c>
    </row>
    <row r="279" spans="1:19">
      <c r="A279" s="14">
        <v>278</v>
      </c>
      <c r="B279" s="15">
        <v>40556</v>
      </c>
      <c r="C279" s="14">
        <v>1</v>
      </c>
      <c r="D279" s="14">
        <v>0</v>
      </c>
      <c r="E279" s="14">
        <v>1</v>
      </c>
      <c r="F279" s="14">
        <v>0</v>
      </c>
      <c r="G279" s="14" t="b">
        <v>0</v>
      </c>
      <c r="H279" s="14">
        <v>4</v>
      </c>
      <c r="I279" s="14">
        <v>1</v>
      </c>
      <c r="J279" s="14">
        <v>0.14000000000000001</v>
      </c>
      <c r="K279">
        <f>VLOOKUP(A279,[1]dataset_2!B:H,2,FALSE)</f>
        <v>0.1212</v>
      </c>
      <c r="L279">
        <f>VLOOKUP(A279,[1]dataset_2!B:H,3,FALSE)</f>
        <v>0.59</v>
      </c>
      <c r="M279">
        <f>VLOOKUP(A279,[1]dataset_2!B:H,4,FALSE)</f>
        <v>0.28360000000000002</v>
      </c>
      <c r="N279">
        <f>VLOOKUP(A279,[1]dataset_2!B:H,5,FALSE)</f>
        <v>1</v>
      </c>
      <c r="O279">
        <f>VLOOKUP(A279,[1]dataset_2!B:H,6,FALSE)</f>
        <v>6</v>
      </c>
      <c r="P279">
        <f>VLOOKUP(A279,[1]dataset_2!B:H,7,FALSE)</f>
        <v>7</v>
      </c>
      <c r="Q279" t="str">
        <f t="shared" si="12"/>
        <v>Weekday</v>
      </c>
      <c r="R279" t="str">
        <f t="shared" si="13"/>
        <v>Morning</v>
      </c>
      <c r="S279" t="str">
        <f t="shared" si="14"/>
        <v>Low</v>
      </c>
    </row>
    <row r="280" spans="1:19">
      <c r="A280" s="14">
        <v>279</v>
      </c>
      <c r="B280" s="15">
        <v>40556</v>
      </c>
      <c r="C280" s="14">
        <v>1</v>
      </c>
      <c r="D280" s="14">
        <v>0</v>
      </c>
      <c r="E280" s="14">
        <v>1</v>
      </c>
      <c r="F280" s="14">
        <v>1</v>
      </c>
      <c r="G280" s="14" t="b">
        <v>0</v>
      </c>
      <c r="H280" s="14">
        <v>4</v>
      </c>
      <c r="I280" s="14">
        <v>1</v>
      </c>
      <c r="J280" s="14">
        <v>0.14000000000000001</v>
      </c>
      <c r="K280">
        <f>VLOOKUP(A280,[1]dataset_2!B:H,2,FALSE)</f>
        <v>0.1212</v>
      </c>
      <c r="L280">
        <f>VLOOKUP(A280,[1]dataset_2!B:H,3,FALSE)</f>
        <v>0.5</v>
      </c>
      <c r="M280">
        <f>VLOOKUP(A280,[1]dataset_2!B:H,4,FALSE)</f>
        <v>0.28360000000000002</v>
      </c>
      <c r="N280">
        <f>VLOOKUP(A280,[1]dataset_2!B:H,5,FALSE)</f>
        <v>0</v>
      </c>
      <c r="O280">
        <f>VLOOKUP(A280,[1]dataset_2!B:H,6,FALSE)</f>
        <v>2</v>
      </c>
      <c r="P280">
        <f>VLOOKUP(A280,[1]dataset_2!B:H,7,FALSE)</f>
        <v>2</v>
      </c>
      <c r="Q280" t="str">
        <f t="shared" si="12"/>
        <v>Weekday</v>
      </c>
      <c r="R280" t="str">
        <f t="shared" si="13"/>
        <v>Morning</v>
      </c>
      <c r="S280" t="str">
        <f t="shared" si="14"/>
        <v>Low</v>
      </c>
    </row>
    <row r="281" spans="1:19">
      <c r="A281" s="14">
        <v>280</v>
      </c>
      <c r="B281" s="15">
        <v>40556</v>
      </c>
      <c r="C281" s="14">
        <v>1</v>
      </c>
      <c r="D281" s="14">
        <v>0</v>
      </c>
      <c r="E281" s="14">
        <v>1</v>
      </c>
      <c r="F281" s="14">
        <v>2</v>
      </c>
      <c r="G281" s="14" t="b">
        <v>0</v>
      </c>
      <c r="H281" s="14">
        <v>4</v>
      </c>
      <c r="I281" s="14">
        <v>1</v>
      </c>
      <c r="J281" s="14">
        <v>0.14000000000000001</v>
      </c>
      <c r="K281">
        <f>VLOOKUP(A281,[1]dataset_2!B:H,2,FALSE)</f>
        <v>0.1212</v>
      </c>
      <c r="L281">
        <f>VLOOKUP(A281,[1]dataset_2!B:H,3,FALSE)</f>
        <v>0.5</v>
      </c>
      <c r="M281">
        <f>VLOOKUP(A281,[1]dataset_2!B:H,4,FALSE)</f>
        <v>0.35820000000000002</v>
      </c>
      <c r="N281">
        <f>VLOOKUP(A281,[1]dataset_2!B:H,5,FALSE)</f>
        <v>0</v>
      </c>
      <c r="O281">
        <f>VLOOKUP(A281,[1]dataset_2!B:H,6,FALSE)</f>
        <v>2</v>
      </c>
      <c r="P281">
        <f>VLOOKUP(A281,[1]dataset_2!B:H,7,FALSE)</f>
        <v>2</v>
      </c>
      <c r="Q281" t="str">
        <f t="shared" si="12"/>
        <v>Weekday</v>
      </c>
      <c r="R281" t="str">
        <f t="shared" si="13"/>
        <v>Morning</v>
      </c>
      <c r="S281" t="str">
        <f t="shared" si="14"/>
        <v>Low</v>
      </c>
    </row>
    <row r="282" spans="1:19">
      <c r="A282" s="14">
        <v>281</v>
      </c>
      <c r="B282" s="15">
        <v>40556</v>
      </c>
      <c r="C282" s="14">
        <v>1</v>
      </c>
      <c r="D282" s="14">
        <v>0</v>
      </c>
      <c r="E282" s="14">
        <v>1</v>
      </c>
      <c r="F282" s="14">
        <v>3</v>
      </c>
      <c r="G282" s="14" t="b">
        <v>0</v>
      </c>
      <c r="H282" s="14">
        <v>4</v>
      </c>
      <c r="I282" s="14">
        <v>1</v>
      </c>
      <c r="J282" s="14">
        <v>0.14000000000000001</v>
      </c>
      <c r="K282">
        <f>VLOOKUP(A282,[1]dataset_2!B:H,2,FALSE)</f>
        <v>0.1212</v>
      </c>
      <c r="L282">
        <f>VLOOKUP(A282,[1]dataset_2!B:H,3,FALSE)</f>
        <v>0.5</v>
      </c>
      <c r="M282">
        <f>VLOOKUP(A282,[1]dataset_2!B:H,4,FALSE)</f>
        <v>0.32840000000000003</v>
      </c>
      <c r="N282">
        <f>VLOOKUP(A282,[1]dataset_2!B:H,5,FALSE)</f>
        <v>0</v>
      </c>
      <c r="O282">
        <f>VLOOKUP(A282,[1]dataset_2!B:H,6,FALSE)</f>
        <v>3</v>
      </c>
      <c r="P282">
        <f>VLOOKUP(A282,[1]dataset_2!B:H,7,FALSE)</f>
        <v>3</v>
      </c>
      <c r="Q282" t="str">
        <f t="shared" si="12"/>
        <v>Weekday</v>
      </c>
      <c r="R282" t="str">
        <f t="shared" si="13"/>
        <v>Morning</v>
      </c>
      <c r="S282" t="str">
        <f t="shared" si="14"/>
        <v>Low</v>
      </c>
    </row>
    <row r="283" spans="1:19">
      <c r="A283" s="14">
        <v>282</v>
      </c>
      <c r="B283" s="15">
        <v>40556</v>
      </c>
      <c r="C283" s="14">
        <v>1</v>
      </c>
      <c r="D283" s="14">
        <v>0</v>
      </c>
      <c r="E283" s="14">
        <v>1</v>
      </c>
      <c r="F283" s="14">
        <v>4</v>
      </c>
      <c r="G283" s="14" t="b">
        <v>0</v>
      </c>
      <c r="H283" s="14">
        <v>4</v>
      </c>
      <c r="I283" s="14">
        <v>1</v>
      </c>
      <c r="J283" s="14">
        <v>0.14000000000000001</v>
      </c>
      <c r="K283">
        <f>VLOOKUP(A283,[1]dataset_2!B:H,2,FALSE)</f>
        <v>0.1212</v>
      </c>
      <c r="L283">
        <f>VLOOKUP(A283,[1]dataset_2!B:H,3,FALSE)</f>
        <v>0.5</v>
      </c>
      <c r="M283">
        <f>VLOOKUP(A283,[1]dataset_2!B:H,4,FALSE)</f>
        <v>0.25369999999999998</v>
      </c>
      <c r="N283">
        <f>VLOOKUP(A283,[1]dataset_2!B:H,5,FALSE)</f>
        <v>0</v>
      </c>
      <c r="O283">
        <f>VLOOKUP(A283,[1]dataset_2!B:H,6,FALSE)</f>
        <v>4</v>
      </c>
      <c r="P283">
        <f>VLOOKUP(A283,[1]dataset_2!B:H,7,FALSE)</f>
        <v>4</v>
      </c>
      <c r="Q283" t="str">
        <f t="shared" si="12"/>
        <v>Weekday</v>
      </c>
      <c r="R283" t="str">
        <f t="shared" si="13"/>
        <v>Morning</v>
      </c>
      <c r="S283" t="str">
        <f t="shared" si="14"/>
        <v>Low</v>
      </c>
    </row>
    <row r="284" spans="1:19">
      <c r="A284" s="14">
        <v>283</v>
      </c>
      <c r="B284" s="15">
        <v>40556</v>
      </c>
      <c r="C284" s="14">
        <v>1</v>
      </c>
      <c r="D284" s="14">
        <v>0</v>
      </c>
      <c r="E284" s="14">
        <v>1</v>
      </c>
      <c r="F284" s="14">
        <v>5</v>
      </c>
      <c r="G284" s="14" t="b">
        <v>0</v>
      </c>
      <c r="H284" s="14">
        <v>4</v>
      </c>
      <c r="I284" s="14">
        <v>1</v>
      </c>
      <c r="J284" s="14">
        <v>0.14000000000000001</v>
      </c>
      <c r="K284">
        <f>VLOOKUP(A284,[1]dataset_2!B:H,2,FALSE)</f>
        <v>0.1212</v>
      </c>
      <c r="L284">
        <f>VLOOKUP(A284,[1]dataset_2!B:H,3,FALSE)</f>
        <v>0.5</v>
      </c>
      <c r="M284">
        <f>VLOOKUP(A284,[1]dataset_2!B:H,4,FALSE)</f>
        <v>0.29849999999999999</v>
      </c>
      <c r="N284">
        <f>VLOOKUP(A284,[1]dataset_2!B:H,5,FALSE)</f>
        <v>0</v>
      </c>
      <c r="O284">
        <f>VLOOKUP(A284,[1]dataset_2!B:H,6,FALSE)</f>
        <v>3</v>
      </c>
      <c r="P284">
        <f>VLOOKUP(A284,[1]dataset_2!B:H,7,FALSE)</f>
        <v>3</v>
      </c>
      <c r="Q284" t="str">
        <f t="shared" si="12"/>
        <v>Weekday</v>
      </c>
      <c r="R284" t="str">
        <f t="shared" si="13"/>
        <v>Morning</v>
      </c>
      <c r="S284" t="str">
        <f t="shared" si="14"/>
        <v>Low</v>
      </c>
    </row>
    <row r="285" spans="1:19">
      <c r="A285" s="14">
        <v>284</v>
      </c>
      <c r="B285" s="15">
        <v>40556</v>
      </c>
      <c r="C285" s="14">
        <v>1</v>
      </c>
      <c r="D285" s="14">
        <v>0</v>
      </c>
      <c r="E285" s="14">
        <v>1</v>
      </c>
      <c r="F285" s="14">
        <v>6</v>
      </c>
      <c r="G285" s="14" t="b">
        <v>0</v>
      </c>
      <c r="H285" s="14">
        <v>4</v>
      </c>
      <c r="I285" s="14">
        <v>1</v>
      </c>
      <c r="J285" s="14">
        <v>0.12</v>
      </c>
      <c r="K285">
        <f>VLOOKUP(A285,[1]dataset_2!B:H,2,FALSE)</f>
        <v>0.1515</v>
      </c>
      <c r="L285">
        <f>VLOOKUP(A285,[1]dataset_2!B:H,3,FALSE)</f>
        <v>0.54</v>
      </c>
      <c r="M285">
        <f>VLOOKUP(A285,[1]dataset_2!B:H,4,FALSE)</f>
        <v>0.1343</v>
      </c>
      <c r="N285">
        <f>VLOOKUP(A285,[1]dataset_2!B:H,5,FALSE)</f>
        <v>0</v>
      </c>
      <c r="O285">
        <f>VLOOKUP(A285,[1]dataset_2!B:H,6,FALSE)</f>
        <v>28</v>
      </c>
      <c r="P285">
        <f>VLOOKUP(A285,[1]dataset_2!B:H,7,FALSE)</f>
        <v>28</v>
      </c>
      <c r="Q285" t="str">
        <f t="shared" si="12"/>
        <v>Weekday</v>
      </c>
      <c r="R285" t="str">
        <f t="shared" si="13"/>
        <v>Morning</v>
      </c>
      <c r="S285" t="str">
        <f t="shared" si="14"/>
        <v>Low</v>
      </c>
    </row>
    <row r="286" spans="1:19">
      <c r="A286" s="14">
        <v>285</v>
      </c>
      <c r="B286" s="15">
        <v>40556</v>
      </c>
      <c r="C286" s="14">
        <v>1</v>
      </c>
      <c r="D286" s="14">
        <v>0</v>
      </c>
      <c r="E286" s="14">
        <v>1</v>
      </c>
      <c r="F286" s="14">
        <v>7</v>
      </c>
      <c r="G286" s="14" t="b">
        <v>0</v>
      </c>
      <c r="H286" s="14">
        <v>4</v>
      </c>
      <c r="I286" s="14">
        <v>1</v>
      </c>
      <c r="J286" s="14">
        <v>0.12</v>
      </c>
      <c r="K286">
        <f>VLOOKUP(A286,[1]dataset_2!B:H,2,FALSE)</f>
        <v>0.1515</v>
      </c>
      <c r="L286">
        <f>VLOOKUP(A286,[1]dataset_2!B:H,3,FALSE)</f>
        <v>0.54</v>
      </c>
      <c r="M286">
        <f>VLOOKUP(A286,[1]dataset_2!B:H,4,FALSE)</f>
        <v>0.1343</v>
      </c>
      <c r="N286">
        <f>VLOOKUP(A286,[1]dataset_2!B:H,5,FALSE)</f>
        <v>0</v>
      </c>
      <c r="O286">
        <f>VLOOKUP(A286,[1]dataset_2!B:H,6,FALSE)</f>
        <v>72</v>
      </c>
      <c r="P286">
        <f>VLOOKUP(A286,[1]dataset_2!B:H,7,FALSE)</f>
        <v>72</v>
      </c>
      <c r="Q286" t="str">
        <f t="shared" si="12"/>
        <v>Weekday</v>
      </c>
      <c r="R286" t="str">
        <f t="shared" si="13"/>
        <v>Morning</v>
      </c>
      <c r="S286" t="str">
        <f t="shared" si="14"/>
        <v>Low</v>
      </c>
    </row>
    <row r="287" spans="1:19">
      <c r="A287" s="14">
        <v>286</v>
      </c>
      <c r="B287" s="15">
        <v>40556</v>
      </c>
      <c r="C287" s="14">
        <v>1</v>
      </c>
      <c r="D287" s="14">
        <v>0</v>
      </c>
      <c r="E287" s="14">
        <v>1</v>
      </c>
      <c r="F287" s="14">
        <v>8</v>
      </c>
      <c r="G287" s="14" t="b">
        <v>0</v>
      </c>
      <c r="H287" s="14">
        <v>4</v>
      </c>
      <c r="I287" s="14">
        <v>1</v>
      </c>
      <c r="J287" s="14">
        <v>0.14000000000000001</v>
      </c>
      <c r="K287">
        <f>VLOOKUP(A287,[1]dataset_2!B:H,2,FALSE)</f>
        <v>0.13639999999999999</v>
      </c>
      <c r="L287">
        <f>VLOOKUP(A287,[1]dataset_2!B:H,3,FALSE)</f>
        <v>0.5</v>
      </c>
      <c r="M287">
        <f>VLOOKUP(A287,[1]dataset_2!B:H,4,FALSE)</f>
        <v>0.19400000000000001</v>
      </c>
      <c r="N287">
        <f>VLOOKUP(A287,[1]dataset_2!B:H,5,FALSE)</f>
        <v>5</v>
      </c>
      <c r="O287">
        <f>VLOOKUP(A287,[1]dataset_2!B:H,6,FALSE)</f>
        <v>197</v>
      </c>
      <c r="P287">
        <f>VLOOKUP(A287,[1]dataset_2!B:H,7,FALSE)</f>
        <v>202</v>
      </c>
      <c r="Q287" t="str">
        <f t="shared" si="12"/>
        <v>Weekday</v>
      </c>
      <c r="R287" t="str">
        <f t="shared" si="13"/>
        <v>Morning</v>
      </c>
      <c r="S287" t="str">
        <f t="shared" si="14"/>
        <v>High</v>
      </c>
    </row>
    <row r="288" spans="1:19">
      <c r="A288" s="14">
        <v>287</v>
      </c>
      <c r="B288" s="15">
        <v>40556</v>
      </c>
      <c r="C288" s="14">
        <v>1</v>
      </c>
      <c r="D288" s="14">
        <v>0</v>
      </c>
      <c r="E288" s="14">
        <v>1</v>
      </c>
      <c r="F288" s="14">
        <v>9</v>
      </c>
      <c r="G288" s="14" t="b">
        <v>0</v>
      </c>
      <c r="H288" s="14">
        <v>4</v>
      </c>
      <c r="I288" s="14">
        <v>1</v>
      </c>
      <c r="J288" s="14">
        <v>0.14000000000000001</v>
      </c>
      <c r="K288">
        <f>VLOOKUP(A288,[1]dataset_2!B:H,2,FALSE)</f>
        <v>0.1212</v>
      </c>
      <c r="L288">
        <f>VLOOKUP(A288,[1]dataset_2!B:H,3,FALSE)</f>
        <v>0.5</v>
      </c>
      <c r="M288">
        <f>VLOOKUP(A288,[1]dataset_2!B:H,4,FALSE)</f>
        <v>0.32840000000000003</v>
      </c>
      <c r="N288">
        <f>VLOOKUP(A288,[1]dataset_2!B:H,5,FALSE)</f>
        <v>2</v>
      </c>
      <c r="O288">
        <f>VLOOKUP(A288,[1]dataset_2!B:H,6,FALSE)</f>
        <v>137</v>
      </c>
      <c r="P288">
        <f>VLOOKUP(A288,[1]dataset_2!B:H,7,FALSE)</f>
        <v>139</v>
      </c>
      <c r="Q288" t="str">
        <f t="shared" si="12"/>
        <v>Weekday</v>
      </c>
      <c r="R288" t="str">
        <f t="shared" si="13"/>
        <v>Morning</v>
      </c>
      <c r="S288" t="str">
        <f t="shared" si="14"/>
        <v>High</v>
      </c>
    </row>
    <row r="289" spans="1:19">
      <c r="A289" s="14">
        <v>288</v>
      </c>
      <c r="B289" s="15">
        <v>40556</v>
      </c>
      <c r="C289" s="14">
        <v>1</v>
      </c>
      <c r="D289" s="14">
        <v>0</v>
      </c>
      <c r="E289" s="14">
        <v>1</v>
      </c>
      <c r="F289" s="14">
        <v>10</v>
      </c>
      <c r="G289" s="14" t="b">
        <v>0</v>
      </c>
      <c r="H289" s="14">
        <v>4</v>
      </c>
      <c r="I289" s="14">
        <v>2</v>
      </c>
      <c r="J289" s="14">
        <v>0.16</v>
      </c>
      <c r="K289">
        <f>VLOOKUP(A289,[1]dataset_2!B:H,2,FALSE)</f>
        <v>0.13639999999999999</v>
      </c>
      <c r="L289">
        <f>VLOOKUP(A289,[1]dataset_2!B:H,3,FALSE)</f>
        <v>0.5</v>
      </c>
      <c r="M289">
        <f>VLOOKUP(A289,[1]dataset_2!B:H,4,FALSE)</f>
        <v>0.35820000000000002</v>
      </c>
      <c r="N289">
        <f>VLOOKUP(A289,[1]dataset_2!B:H,5,FALSE)</f>
        <v>2</v>
      </c>
      <c r="O289">
        <f>VLOOKUP(A289,[1]dataset_2!B:H,6,FALSE)</f>
        <v>36</v>
      </c>
      <c r="P289">
        <f>VLOOKUP(A289,[1]dataset_2!B:H,7,FALSE)</f>
        <v>38</v>
      </c>
      <c r="Q289" t="str">
        <f t="shared" si="12"/>
        <v>Weekday</v>
      </c>
      <c r="R289" t="str">
        <f t="shared" si="13"/>
        <v>Morning</v>
      </c>
      <c r="S289" t="str">
        <f t="shared" si="14"/>
        <v>Low</v>
      </c>
    </row>
    <row r="290" spans="1:19">
      <c r="A290" s="14">
        <v>289</v>
      </c>
      <c r="B290" s="15">
        <v>40556</v>
      </c>
      <c r="C290" s="14">
        <v>1</v>
      </c>
      <c r="D290" s="14">
        <v>0</v>
      </c>
      <c r="E290" s="14">
        <v>1</v>
      </c>
      <c r="F290" s="14">
        <v>11</v>
      </c>
      <c r="G290" s="14" t="b">
        <v>0</v>
      </c>
      <c r="H290" s="14">
        <v>4</v>
      </c>
      <c r="I290" s="14">
        <v>2</v>
      </c>
      <c r="J290" s="14">
        <v>0.2</v>
      </c>
      <c r="K290">
        <f>VLOOKUP(A290,[1]dataset_2!B:H,2,FALSE)</f>
        <v>0.16669999999999999</v>
      </c>
      <c r="L290">
        <f>VLOOKUP(A290,[1]dataset_2!B:H,3,FALSE)</f>
        <v>0.44</v>
      </c>
      <c r="M290">
        <f>VLOOKUP(A290,[1]dataset_2!B:H,4,FALSE)</f>
        <v>0.44779999999999998</v>
      </c>
      <c r="N290">
        <f>VLOOKUP(A290,[1]dataset_2!B:H,5,FALSE)</f>
        <v>4</v>
      </c>
      <c r="O290">
        <f>VLOOKUP(A290,[1]dataset_2!B:H,6,FALSE)</f>
        <v>33</v>
      </c>
      <c r="P290">
        <f>VLOOKUP(A290,[1]dataset_2!B:H,7,FALSE)</f>
        <v>37</v>
      </c>
      <c r="Q290" t="str">
        <f t="shared" si="12"/>
        <v>Weekday</v>
      </c>
      <c r="R290" t="str">
        <f t="shared" si="13"/>
        <v>Morning</v>
      </c>
      <c r="S290" t="str">
        <f t="shared" si="14"/>
        <v>Low</v>
      </c>
    </row>
    <row r="291" spans="1:19">
      <c r="A291" s="14">
        <v>290</v>
      </c>
      <c r="B291" s="15">
        <v>40556</v>
      </c>
      <c r="C291" s="14">
        <v>1</v>
      </c>
      <c r="D291" s="14">
        <v>0</v>
      </c>
      <c r="E291" s="14">
        <v>1</v>
      </c>
      <c r="F291" s="14">
        <v>12</v>
      </c>
      <c r="G291" s="14" t="b">
        <v>0</v>
      </c>
      <c r="H291" s="14">
        <v>4</v>
      </c>
      <c r="I291" s="14">
        <v>1</v>
      </c>
      <c r="J291" s="14">
        <v>0.2</v>
      </c>
      <c r="K291">
        <f>VLOOKUP(A291,[1]dataset_2!B:H,2,FALSE)</f>
        <v>0.16669999999999999</v>
      </c>
      <c r="L291">
        <f>VLOOKUP(A291,[1]dataset_2!B:H,3,FALSE)</f>
        <v>0.44</v>
      </c>
      <c r="M291">
        <f>VLOOKUP(A291,[1]dataset_2!B:H,4,FALSE)</f>
        <v>0.41789999999999999</v>
      </c>
      <c r="N291">
        <f>VLOOKUP(A291,[1]dataset_2!B:H,5,FALSE)</f>
        <v>3</v>
      </c>
      <c r="O291">
        <f>VLOOKUP(A291,[1]dataset_2!B:H,6,FALSE)</f>
        <v>49</v>
      </c>
      <c r="P291">
        <f>VLOOKUP(A291,[1]dataset_2!B:H,7,FALSE)</f>
        <v>52</v>
      </c>
      <c r="Q291" t="str">
        <f t="shared" si="12"/>
        <v>Weekday</v>
      </c>
      <c r="R291" t="str">
        <f t="shared" si="13"/>
        <v>Afternoon</v>
      </c>
      <c r="S291" t="str">
        <f t="shared" si="14"/>
        <v>Low</v>
      </c>
    </row>
    <row r="292" spans="1:19">
      <c r="A292" s="14">
        <v>291</v>
      </c>
      <c r="B292" s="15">
        <v>40556</v>
      </c>
      <c r="C292" s="14">
        <v>1</v>
      </c>
      <c r="D292" s="14">
        <v>0</v>
      </c>
      <c r="E292" s="14">
        <v>1</v>
      </c>
      <c r="F292" s="14">
        <v>13</v>
      </c>
      <c r="G292" s="14" t="b">
        <v>0</v>
      </c>
      <c r="H292" s="14">
        <v>4</v>
      </c>
      <c r="I292" s="14">
        <v>1</v>
      </c>
      <c r="J292" s="14">
        <v>0.22</v>
      </c>
      <c r="K292">
        <f>VLOOKUP(A292,[1]dataset_2!B:H,2,FALSE)</f>
        <v>0.19700000000000001</v>
      </c>
      <c r="L292">
        <f>VLOOKUP(A292,[1]dataset_2!B:H,3,FALSE)</f>
        <v>0.41</v>
      </c>
      <c r="M292">
        <f>VLOOKUP(A292,[1]dataset_2!B:H,4,FALSE)</f>
        <v>0.44779999999999998</v>
      </c>
      <c r="N292">
        <f>VLOOKUP(A292,[1]dataset_2!B:H,5,FALSE)</f>
        <v>2</v>
      </c>
      <c r="O292">
        <f>VLOOKUP(A292,[1]dataset_2!B:H,6,FALSE)</f>
        <v>81</v>
      </c>
      <c r="P292">
        <f>VLOOKUP(A292,[1]dataset_2!B:H,7,FALSE)</f>
        <v>83</v>
      </c>
      <c r="Q292" t="str">
        <f t="shared" si="12"/>
        <v>Weekday</v>
      </c>
      <c r="R292" t="str">
        <f t="shared" si="13"/>
        <v>Afternoon</v>
      </c>
      <c r="S292" t="str">
        <f t="shared" si="14"/>
        <v>Low</v>
      </c>
    </row>
    <row r="293" spans="1:19">
      <c r="A293" s="14">
        <v>292</v>
      </c>
      <c r="B293" s="15">
        <v>40556</v>
      </c>
      <c r="C293" s="14">
        <v>1</v>
      </c>
      <c r="D293" s="14">
        <v>0</v>
      </c>
      <c r="E293" s="14">
        <v>1</v>
      </c>
      <c r="F293" s="14">
        <v>14</v>
      </c>
      <c r="G293" s="14" t="b">
        <v>0</v>
      </c>
      <c r="H293" s="14">
        <v>4</v>
      </c>
      <c r="I293" s="14">
        <v>1</v>
      </c>
      <c r="J293" s="14">
        <v>0.22</v>
      </c>
      <c r="K293">
        <f>VLOOKUP(A293,[1]dataset_2!B:H,2,FALSE)</f>
        <v>0.19700000000000001</v>
      </c>
      <c r="L293">
        <f>VLOOKUP(A293,[1]dataset_2!B:H,3,FALSE)</f>
        <v>0.41</v>
      </c>
      <c r="M293">
        <f>VLOOKUP(A293,[1]dataset_2!B:H,4,FALSE)</f>
        <v>0.3881</v>
      </c>
      <c r="N293">
        <f>VLOOKUP(A293,[1]dataset_2!B:H,5,FALSE)</f>
        <v>3</v>
      </c>
      <c r="O293">
        <f>VLOOKUP(A293,[1]dataset_2!B:H,6,FALSE)</f>
        <v>39</v>
      </c>
      <c r="P293">
        <f>VLOOKUP(A293,[1]dataset_2!B:H,7,FALSE)</f>
        <v>42</v>
      </c>
      <c r="Q293" t="str">
        <f t="shared" si="12"/>
        <v>Weekday</v>
      </c>
      <c r="R293" t="str">
        <f t="shared" si="13"/>
        <v>Afternoon</v>
      </c>
      <c r="S293" t="str">
        <f t="shared" si="14"/>
        <v>Low</v>
      </c>
    </row>
    <row r="294" spans="1:19">
      <c r="A294" s="14">
        <v>293</v>
      </c>
      <c r="B294" s="15">
        <v>40556</v>
      </c>
      <c r="C294" s="14">
        <v>1</v>
      </c>
      <c r="D294" s="14">
        <v>0</v>
      </c>
      <c r="E294" s="14">
        <v>1</v>
      </c>
      <c r="F294" s="14">
        <v>15</v>
      </c>
      <c r="G294" s="14" t="b">
        <v>0</v>
      </c>
      <c r="H294" s="14">
        <v>4</v>
      </c>
      <c r="I294" s="14">
        <v>1</v>
      </c>
      <c r="J294" s="14">
        <v>0.24</v>
      </c>
      <c r="K294">
        <f>VLOOKUP(A294,[1]dataset_2!B:H,2,FALSE)</f>
        <v>0.21210000000000001</v>
      </c>
      <c r="L294">
        <f>VLOOKUP(A294,[1]dataset_2!B:H,3,FALSE)</f>
        <v>0.38</v>
      </c>
      <c r="M294">
        <f>VLOOKUP(A294,[1]dataset_2!B:H,4,FALSE)</f>
        <v>0.29849999999999999</v>
      </c>
      <c r="N294">
        <f>VLOOKUP(A294,[1]dataset_2!B:H,5,FALSE)</f>
        <v>5</v>
      </c>
      <c r="O294">
        <f>VLOOKUP(A294,[1]dataset_2!B:H,6,FALSE)</f>
        <v>55</v>
      </c>
      <c r="P294">
        <f>VLOOKUP(A294,[1]dataset_2!B:H,7,FALSE)</f>
        <v>60</v>
      </c>
      <c r="Q294" t="str">
        <f t="shared" si="12"/>
        <v>Weekday</v>
      </c>
      <c r="R294" t="str">
        <f t="shared" si="13"/>
        <v>Afternoon</v>
      </c>
      <c r="S294" t="str">
        <f t="shared" si="14"/>
        <v>Low</v>
      </c>
    </row>
    <row r="295" spans="1:19">
      <c r="A295" s="14">
        <v>294</v>
      </c>
      <c r="B295" s="15">
        <v>40556</v>
      </c>
      <c r="C295" s="14">
        <v>1</v>
      </c>
      <c r="D295" s="14">
        <v>0</v>
      </c>
      <c r="E295" s="14">
        <v>1</v>
      </c>
      <c r="F295" s="14">
        <v>16</v>
      </c>
      <c r="G295" s="14" t="b">
        <v>0</v>
      </c>
      <c r="H295" s="14">
        <v>4</v>
      </c>
      <c r="I295" s="14">
        <v>1</v>
      </c>
      <c r="J295" s="14">
        <v>0.24</v>
      </c>
      <c r="K295">
        <f>VLOOKUP(A295,[1]dataset_2!B:H,2,FALSE)</f>
        <v>0.21210000000000001</v>
      </c>
      <c r="L295">
        <f>VLOOKUP(A295,[1]dataset_2!B:H,3,FALSE)</f>
        <v>0.38</v>
      </c>
      <c r="M295">
        <f>VLOOKUP(A295,[1]dataset_2!B:H,4,FALSE)</f>
        <v>0.35820000000000002</v>
      </c>
      <c r="N295">
        <f>VLOOKUP(A295,[1]dataset_2!B:H,5,FALSE)</f>
        <v>2</v>
      </c>
      <c r="O295">
        <f>VLOOKUP(A295,[1]dataset_2!B:H,6,FALSE)</f>
        <v>76</v>
      </c>
      <c r="P295">
        <f>VLOOKUP(A295,[1]dataset_2!B:H,7,FALSE)</f>
        <v>78</v>
      </c>
      <c r="Q295" t="str">
        <f t="shared" si="12"/>
        <v>Weekday</v>
      </c>
      <c r="R295" t="str">
        <f t="shared" si="13"/>
        <v>Afternoon</v>
      </c>
      <c r="S295" t="str">
        <f t="shared" si="14"/>
        <v>Low</v>
      </c>
    </row>
    <row r="296" spans="1:19">
      <c r="A296" s="14">
        <v>295</v>
      </c>
      <c r="B296" s="15">
        <v>40556</v>
      </c>
      <c r="C296" s="14">
        <v>1</v>
      </c>
      <c r="D296" s="14">
        <v>0</v>
      </c>
      <c r="E296" s="14">
        <v>1</v>
      </c>
      <c r="F296" s="14">
        <v>17</v>
      </c>
      <c r="G296" s="14" t="b">
        <v>0</v>
      </c>
      <c r="H296" s="14">
        <v>4</v>
      </c>
      <c r="I296" s="14">
        <v>1</v>
      </c>
      <c r="J296" s="14">
        <v>0.2</v>
      </c>
      <c r="K296">
        <f>VLOOKUP(A296,[1]dataset_2!B:H,2,FALSE)</f>
        <v>0.18179999999999999</v>
      </c>
      <c r="L296">
        <f>VLOOKUP(A296,[1]dataset_2!B:H,3,FALSE)</f>
        <v>0.4</v>
      </c>
      <c r="M296">
        <f>VLOOKUP(A296,[1]dataset_2!B:H,4,FALSE)</f>
        <v>0.28360000000000002</v>
      </c>
      <c r="N296">
        <f>VLOOKUP(A296,[1]dataset_2!B:H,5,FALSE)</f>
        <v>4</v>
      </c>
      <c r="O296">
        <f>VLOOKUP(A296,[1]dataset_2!B:H,6,FALSE)</f>
        <v>158</v>
      </c>
      <c r="P296">
        <f>VLOOKUP(A296,[1]dataset_2!B:H,7,FALSE)</f>
        <v>162</v>
      </c>
      <c r="Q296" t="str">
        <f t="shared" si="12"/>
        <v>Weekday</v>
      </c>
      <c r="R296" t="str">
        <f t="shared" si="13"/>
        <v>Afternoon</v>
      </c>
      <c r="S296" t="str">
        <f t="shared" si="14"/>
        <v>High</v>
      </c>
    </row>
    <row r="297" spans="1:19">
      <c r="A297" s="14">
        <v>296</v>
      </c>
      <c r="B297" s="15">
        <v>40556</v>
      </c>
      <c r="C297" s="14">
        <v>1</v>
      </c>
      <c r="D297" s="14">
        <v>0</v>
      </c>
      <c r="E297" s="14">
        <v>1</v>
      </c>
      <c r="F297" s="14">
        <v>18</v>
      </c>
      <c r="G297" s="14" t="b">
        <v>0</v>
      </c>
      <c r="H297" s="14">
        <v>4</v>
      </c>
      <c r="I297" s="14">
        <v>1</v>
      </c>
      <c r="J297" s="14">
        <v>0.2</v>
      </c>
      <c r="K297">
        <f>VLOOKUP(A297,[1]dataset_2!B:H,2,FALSE)</f>
        <v>0.18179999999999999</v>
      </c>
      <c r="L297">
        <f>VLOOKUP(A297,[1]dataset_2!B:H,3,FALSE)</f>
        <v>0.4</v>
      </c>
      <c r="M297">
        <f>VLOOKUP(A297,[1]dataset_2!B:H,4,FALSE)</f>
        <v>0.32840000000000003</v>
      </c>
      <c r="N297">
        <f>VLOOKUP(A297,[1]dataset_2!B:H,5,FALSE)</f>
        <v>3</v>
      </c>
      <c r="O297">
        <f>VLOOKUP(A297,[1]dataset_2!B:H,6,FALSE)</f>
        <v>141</v>
      </c>
      <c r="P297">
        <f>VLOOKUP(A297,[1]dataset_2!B:H,7,FALSE)</f>
        <v>144</v>
      </c>
      <c r="Q297" t="str">
        <f t="shared" si="12"/>
        <v>Weekday</v>
      </c>
      <c r="R297" t="str">
        <f t="shared" si="13"/>
        <v>Evening</v>
      </c>
      <c r="S297" t="str">
        <f t="shared" si="14"/>
        <v>High</v>
      </c>
    </row>
    <row r="298" spans="1:19">
      <c r="A298" s="14">
        <v>297</v>
      </c>
      <c r="B298" s="15">
        <v>40556</v>
      </c>
      <c r="C298" s="14">
        <v>1</v>
      </c>
      <c r="D298" s="14">
        <v>0</v>
      </c>
      <c r="E298" s="14">
        <v>1</v>
      </c>
      <c r="F298" s="14">
        <v>19</v>
      </c>
      <c r="G298" s="14" t="b">
        <v>0</v>
      </c>
      <c r="H298" s="14">
        <v>4</v>
      </c>
      <c r="I298" s="14">
        <v>1</v>
      </c>
      <c r="J298" s="14">
        <v>0.16</v>
      </c>
      <c r="K298">
        <f>VLOOKUP(A298,[1]dataset_2!B:H,2,FALSE)</f>
        <v>0.1515</v>
      </c>
      <c r="L298">
        <f>VLOOKUP(A298,[1]dataset_2!B:H,3,FALSE)</f>
        <v>0.47</v>
      </c>
      <c r="M298">
        <f>VLOOKUP(A298,[1]dataset_2!B:H,4,FALSE)</f>
        <v>0.25369999999999998</v>
      </c>
      <c r="N298">
        <f>VLOOKUP(A298,[1]dataset_2!B:H,5,FALSE)</f>
        <v>1</v>
      </c>
      <c r="O298">
        <f>VLOOKUP(A298,[1]dataset_2!B:H,6,FALSE)</f>
        <v>98</v>
      </c>
      <c r="P298">
        <f>VLOOKUP(A298,[1]dataset_2!B:H,7,FALSE)</f>
        <v>99</v>
      </c>
      <c r="Q298" t="str">
        <f t="shared" si="12"/>
        <v>Weekday</v>
      </c>
      <c r="R298" t="str">
        <f t="shared" si="13"/>
        <v>Evening</v>
      </c>
      <c r="S298" t="str">
        <f t="shared" si="14"/>
        <v>Low</v>
      </c>
    </row>
    <row r="299" spans="1:19">
      <c r="A299" s="14">
        <v>298</v>
      </c>
      <c r="B299" s="15">
        <v>40556</v>
      </c>
      <c r="C299" s="14">
        <v>1</v>
      </c>
      <c r="D299" s="14">
        <v>0</v>
      </c>
      <c r="E299" s="14">
        <v>1</v>
      </c>
      <c r="F299" s="14">
        <v>20</v>
      </c>
      <c r="G299" s="14" t="b">
        <v>0</v>
      </c>
      <c r="H299" s="14">
        <v>4</v>
      </c>
      <c r="I299" s="14">
        <v>1</v>
      </c>
      <c r="J299" s="14">
        <v>0.16</v>
      </c>
      <c r="K299">
        <f>VLOOKUP(A299,[1]dataset_2!B:H,2,FALSE)</f>
        <v>0.1515</v>
      </c>
      <c r="L299">
        <f>VLOOKUP(A299,[1]dataset_2!B:H,3,FALSE)</f>
        <v>0.47</v>
      </c>
      <c r="M299">
        <f>VLOOKUP(A299,[1]dataset_2!B:H,4,FALSE)</f>
        <v>0.22389999999999999</v>
      </c>
      <c r="N299">
        <f>VLOOKUP(A299,[1]dataset_2!B:H,5,FALSE)</f>
        <v>0</v>
      </c>
      <c r="O299">
        <f>VLOOKUP(A299,[1]dataset_2!B:H,6,FALSE)</f>
        <v>64</v>
      </c>
      <c r="P299">
        <f>VLOOKUP(A299,[1]dataset_2!B:H,7,FALSE)</f>
        <v>64</v>
      </c>
      <c r="Q299" t="str">
        <f t="shared" si="12"/>
        <v>Weekday</v>
      </c>
      <c r="R299" t="str">
        <f t="shared" si="13"/>
        <v>Evening</v>
      </c>
      <c r="S299" t="str">
        <f t="shared" si="14"/>
        <v>Low</v>
      </c>
    </row>
    <row r="300" spans="1:19">
      <c r="A300" s="14">
        <v>299</v>
      </c>
      <c r="B300" s="15">
        <v>40556</v>
      </c>
      <c r="C300" s="14">
        <v>1</v>
      </c>
      <c r="D300" s="14">
        <v>0</v>
      </c>
      <c r="E300" s="14">
        <v>1</v>
      </c>
      <c r="F300" s="14">
        <v>21</v>
      </c>
      <c r="G300" s="14" t="b">
        <v>0</v>
      </c>
      <c r="H300" s="14">
        <v>4</v>
      </c>
      <c r="I300" s="14">
        <v>1</v>
      </c>
      <c r="J300" s="14">
        <v>0.14000000000000001</v>
      </c>
      <c r="K300">
        <f>VLOOKUP(A300,[1]dataset_2!B:H,2,FALSE)</f>
        <v>0.1212</v>
      </c>
      <c r="L300">
        <f>VLOOKUP(A300,[1]dataset_2!B:H,3,FALSE)</f>
        <v>0.46</v>
      </c>
      <c r="M300">
        <f>VLOOKUP(A300,[1]dataset_2!B:H,4,FALSE)</f>
        <v>0.29849999999999999</v>
      </c>
      <c r="N300">
        <f>VLOOKUP(A300,[1]dataset_2!B:H,5,FALSE)</f>
        <v>0</v>
      </c>
      <c r="O300">
        <f>VLOOKUP(A300,[1]dataset_2!B:H,6,FALSE)</f>
        <v>40</v>
      </c>
      <c r="P300">
        <f>VLOOKUP(A300,[1]dataset_2!B:H,7,FALSE)</f>
        <v>40</v>
      </c>
      <c r="Q300" t="str">
        <f t="shared" si="12"/>
        <v>Weekday</v>
      </c>
      <c r="R300" t="str">
        <f t="shared" si="13"/>
        <v>Evening</v>
      </c>
      <c r="S300" t="str">
        <f t="shared" si="14"/>
        <v>Low</v>
      </c>
    </row>
    <row r="301" spans="1:19">
      <c r="A301" s="14">
        <v>300</v>
      </c>
      <c r="B301" s="15">
        <v>40556</v>
      </c>
      <c r="C301" s="14">
        <v>1</v>
      </c>
      <c r="D301" s="14">
        <v>0</v>
      </c>
      <c r="E301" s="14">
        <v>1</v>
      </c>
      <c r="F301" s="14">
        <v>22</v>
      </c>
      <c r="G301" s="14" t="b">
        <v>0</v>
      </c>
      <c r="H301" s="14">
        <v>4</v>
      </c>
      <c r="I301" s="14">
        <v>1</v>
      </c>
      <c r="J301" s="14">
        <v>0.14000000000000001</v>
      </c>
      <c r="K301">
        <f>VLOOKUP(A301,[1]dataset_2!B:H,2,FALSE)</f>
        <v>0.1212</v>
      </c>
      <c r="L301">
        <f>VLOOKUP(A301,[1]dataset_2!B:H,3,FALSE)</f>
        <v>0.46</v>
      </c>
      <c r="M301">
        <f>VLOOKUP(A301,[1]dataset_2!B:H,4,FALSE)</f>
        <v>0.32840000000000003</v>
      </c>
      <c r="N301">
        <f>VLOOKUP(A301,[1]dataset_2!B:H,5,FALSE)</f>
        <v>0</v>
      </c>
      <c r="O301">
        <f>VLOOKUP(A301,[1]dataset_2!B:H,6,FALSE)</f>
        <v>30</v>
      </c>
      <c r="P301">
        <f>VLOOKUP(A301,[1]dataset_2!B:H,7,FALSE)</f>
        <v>30</v>
      </c>
      <c r="Q301" t="str">
        <f t="shared" si="12"/>
        <v>Weekday</v>
      </c>
      <c r="R301" t="str">
        <f t="shared" si="13"/>
        <v>Evening</v>
      </c>
      <c r="S301" t="str">
        <f t="shared" si="14"/>
        <v>Low</v>
      </c>
    </row>
    <row r="302" spans="1:19">
      <c r="A302" s="14">
        <v>301</v>
      </c>
      <c r="B302" s="15">
        <v>40556</v>
      </c>
      <c r="C302" s="14">
        <v>1</v>
      </c>
      <c r="D302" s="14">
        <v>0</v>
      </c>
      <c r="E302" s="14">
        <v>1</v>
      </c>
      <c r="F302" s="14">
        <v>23</v>
      </c>
      <c r="G302" s="14" t="b">
        <v>0</v>
      </c>
      <c r="H302" s="14">
        <v>4</v>
      </c>
      <c r="I302" s="14">
        <v>1</v>
      </c>
      <c r="J302" s="14">
        <v>0.12</v>
      </c>
      <c r="K302">
        <f>VLOOKUP(A302,[1]dataset_2!B:H,2,FALSE)</f>
        <v>0.13639999999999999</v>
      </c>
      <c r="L302">
        <f>VLOOKUP(A302,[1]dataset_2!B:H,3,FALSE)</f>
        <v>0.5</v>
      </c>
      <c r="M302">
        <f>VLOOKUP(A302,[1]dataset_2!B:H,4,FALSE)</f>
        <v>0.19400000000000001</v>
      </c>
      <c r="N302">
        <f>VLOOKUP(A302,[1]dataset_2!B:H,5,FALSE)</f>
        <v>1</v>
      </c>
      <c r="O302">
        <f>VLOOKUP(A302,[1]dataset_2!B:H,6,FALSE)</f>
        <v>14</v>
      </c>
      <c r="P302">
        <f>VLOOKUP(A302,[1]dataset_2!B:H,7,FALSE)</f>
        <v>15</v>
      </c>
      <c r="Q302" t="str">
        <f t="shared" si="12"/>
        <v>Weekday</v>
      </c>
      <c r="R302" t="str">
        <f t="shared" si="13"/>
        <v>Evening</v>
      </c>
      <c r="S302" t="str">
        <f t="shared" si="14"/>
        <v>Low</v>
      </c>
    </row>
    <row r="303" spans="1:19">
      <c r="A303" s="14">
        <v>302</v>
      </c>
      <c r="B303" s="15">
        <v>40557</v>
      </c>
      <c r="C303" s="14">
        <v>1</v>
      </c>
      <c r="D303" s="14">
        <v>0</v>
      </c>
      <c r="E303" s="14">
        <v>1</v>
      </c>
      <c r="F303" s="14">
        <v>0</v>
      </c>
      <c r="G303" s="14" t="b">
        <v>0</v>
      </c>
      <c r="H303" s="14">
        <v>5</v>
      </c>
      <c r="I303" s="14">
        <v>1</v>
      </c>
      <c r="J303" s="14">
        <v>0.12</v>
      </c>
      <c r="K303">
        <f>VLOOKUP(A303,[1]dataset_2!B:H,2,FALSE)</f>
        <v>0.13639999999999999</v>
      </c>
      <c r="L303">
        <f>VLOOKUP(A303,[1]dataset_2!B:H,3,FALSE)</f>
        <v>0.5</v>
      </c>
      <c r="M303">
        <f>VLOOKUP(A303,[1]dataset_2!B:H,4,FALSE)</f>
        <v>0.19400000000000001</v>
      </c>
      <c r="N303">
        <f>VLOOKUP(A303,[1]dataset_2!B:H,5,FALSE)</f>
        <v>0</v>
      </c>
      <c r="O303">
        <f>VLOOKUP(A303,[1]dataset_2!B:H,6,FALSE)</f>
        <v>14</v>
      </c>
      <c r="P303">
        <f>VLOOKUP(A303,[1]dataset_2!B:H,7,FALSE)</f>
        <v>14</v>
      </c>
      <c r="Q303" t="str">
        <f t="shared" si="12"/>
        <v>Weekday</v>
      </c>
      <c r="R303" t="str">
        <f t="shared" si="13"/>
        <v>Morning</v>
      </c>
      <c r="S303" t="str">
        <f t="shared" si="14"/>
        <v>Low</v>
      </c>
    </row>
    <row r="304" spans="1:19">
      <c r="A304" s="14">
        <v>303</v>
      </c>
      <c r="B304" s="15">
        <v>40557</v>
      </c>
      <c r="C304" s="14">
        <v>1</v>
      </c>
      <c r="D304" s="14">
        <v>0</v>
      </c>
      <c r="E304" s="14">
        <v>1</v>
      </c>
      <c r="F304" s="14">
        <v>1</v>
      </c>
      <c r="G304" s="14" t="b">
        <v>0</v>
      </c>
      <c r="H304" s="14">
        <v>5</v>
      </c>
      <c r="I304" s="14">
        <v>1</v>
      </c>
      <c r="J304" s="14">
        <v>0.1</v>
      </c>
      <c r="K304">
        <f>VLOOKUP(A304,[1]dataset_2!B:H,2,FALSE)</f>
        <v>0.1212</v>
      </c>
      <c r="L304">
        <f>VLOOKUP(A304,[1]dataset_2!B:H,3,FALSE)</f>
        <v>0.54</v>
      </c>
      <c r="M304">
        <f>VLOOKUP(A304,[1]dataset_2!B:H,4,FALSE)</f>
        <v>0.16420000000000001</v>
      </c>
      <c r="N304">
        <f>VLOOKUP(A304,[1]dataset_2!B:H,5,FALSE)</f>
        <v>0</v>
      </c>
      <c r="O304">
        <f>VLOOKUP(A304,[1]dataset_2!B:H,6,FALSE)</f>
        <v>5</v>
      </c>
      <c r="P304">
        <f>VLOOKUP(A304,[1]dataset_2!B:H,7,FALSE)</f>
        <v>5</v>
      </c>
      <c r="Q304" t="str">
        <f t="shared" si="12"/>
        <v>Weekday</v>
      </c>
      <c r="R304" t="str">
        <f t="shared" si="13"/>
        <v>Morning</v>
      </c>
      <c r="S304" t="str">
        <f t="shared" si="14"/>
        <v>Low</v>
      </c>
    </row>
    <row r="305" spans="1:19">
      <c r="A305" s="14">
        <v>304</v>
      </c>
      <c r="B305" s="15">
        <v>40557</v>
      </c>
      <c r="C305" s="14">
        <v>1</v>
      </c>
      <c r="D305" s="14">
        <v>0</v>
      </c>
      <c r="E305" s="14">
        <v>1</v>
      </c>
      <c r="F305" s="14">
        <v>2</v>
      </c>
      <c r="G305" s="14" t="b">
        <v>0</v>
      </c>
      <c r="H305" s="14">
        <v>5</v>
      </c>
      <c r="I305" s="14">
        <v>1</v>
      </c>
      <c r="J305" s="14">
        <v>0.1</v>
      </c>
      <c r="K305">
        <f>VLOOKUP(A305,[1]dataset_2!B:H,2,FALSE)</f>
        <v>0.1212</v>
      </c>
      <c r="L305">
        <f>VLOOKUP(A305,[1]dataset_2!B:H,3,FALSE)</f>
        <v>0.54</v>
      </c>
      <c r="M305">
        <f>VLOOKUP(A305,[1]dataset_2!B:H,4,FALSE)</f>
        <v>0.1343</v>
      </c>
      <c r="N305">
        <f>VLOOKUP(A305,[1]dataset_2!B:H,5,FALSE)</f>
        <v>0</v>
      </c>
      <c r="O305">
        <f>VLOOKUP(A305,[1]dataset_2!B:H,6,FALSE)</f>
        <v>1</v>
      </c>
      <c r="P305">
        <f>VLOOKUP(A305,[1]dataset_2!B:H,7,FALSE)</f>
        <v>1</v>
      </c>
      <c r="Q305" t="str">
        <f t="shared" si="12"/>
        <v>Weekday</v>
      </c>
      <c r="R305" t="str">
        <f t="shared" si="13"/>
        <v>Morning</v>
      </c>
      <c r="S305" t="str">
        <f t="shared" si="14"/>
        <v>Low</v>
      </c>
    </row>
    <row r="306" spans="1:19">
      <c r="A306" s="14">
        <v>305</v>
      </c>
      <c r="B306" s="15">
        <v>40557</v>
      </c>
      <c r="C306" s="14">
        <v>1</v>
      </c>
      <c r="D306" s="14">
        <v>0</v>
      </c>
      <c r="E306" s="14">
        <v>1</v>
      </c>
      <c r="F306" s="14">
        <v>3</v>
      </c>
      <c r="G306" s="14" t="b">
        <v>0</v>
      </c>
      <c r="H306" s="14">
        <v>5</v>
      </c>
      <c r="I306" s="14">
        <v>1</v>
      </c>
      <c r="J306" s="14">
        <v>0.1</v>
      </c>
      <c r="K306">
        <f>VLOOKUP(A306,[1]dataset_2!B:H,2,FALSE)</f>
        <v>0.13639999999999999</v>
      </c>
      <c r="L306">
        <f>VLOOKUP(A306,[1]dataset_2!B:H,3,FALSE)</f>
        <v>0.54</v>
      </c>
      <c r="M306">
        <f>VLOOKUP(A306,[1]dataset_2!B:H,4,FALSE)</f>
        <v>0.1045</v>
      </c>
      <c r="N306">
        <f>VLOOKUP(A306,[1]dataset_2!B:H,5,FALSE)</f>
        <v>0</v>
      </c>
      <c r="O306">
        <f>VLOOKUP(A306,[1]dataset_2!B:H,6,FALSE)</f>
        <v>1</v>
      </c>
      <c r="P306">
        <f>VLOOKUP(A306,[1]dataset_2!B:H,7,FALSE)</f>
        <v>1</v>
      </c>
      <c r="Q306" t="str">
        <f t="shared" si="12"/>
        <v>Weekday</v>
      </c>
      <c r="R306" t="str">
        <f t="shared" si="13"/>
        <v>Morning</v>
      </c>
      <c r="S306" t="str">
        <f t="shared" si="14"/>
        <v>Low</v>
      </c>
    </row>
    <row r="307" spans="1:19">
      <c r="A307" s="14">
        <v>306</v>
      </c>
      <c r="B307" s="15">
        <v>40557</v>
      </c>
      <c r="C307" s="14">
        <v>1</v>
      </c>
      <c r="D307" s="14">
        <v>0</v>
      </c>
      <c r="E307" s="14">
        <v>1</v>
      </c>
      <c r="F307" s="14">
        <v>5</v>
      </c>
      <c r="G307" s="14" t="b">
        <v>0</v>
      </c>
      <c r="H307" s="14">
        <v>5</v>
      </c>
      <c r="I307" s="14">
        <v>1</v>
      </c>
      <c r="J307" s="14">
        <v>0.1</v>
      </c>
      <c r="K307">
        <f>VLOOKUP(A307,[1]dataset_2!B:H,2,FALSE)</f>
        <v>0.13639999999999999</v>
      </c>
      <c r="L307">
        <f>VLOOKUP(A307,[1]dataset_2!B:H,3,FALSE)</f>
        <v>0.54</v>
      </c>
      <c r="M307">
        <f>VLOOKUP(A307,[1]dataset_2!B:H,4,FALSE)</f>
        <v>8.9599999999999999E-2</v>
      </c>
      <c r="N307">
        <f>VLOOKUP(A307,[1]dataset_2!B:H,5,FALSE)</f>
        <v>0</v>
      </c>
      <c r="O307">
        <f>VLOOKUP(A307,[1]dataset_2!B:H,6,FALSE)</f>
        <v>8</v>
      </c>
      <c r="P307">
        <f>VLOOKUP(A307,[1]dataset_2!B:H,7,FALSE)</f>
        <v>8</v>
      </c>
      <c r="Q307" t="str">
        <f t="shared" si="12"/>
        <v>Weekday</v>
      </c>
      <c r="R307" t="str">
        <f t="shared" si="13"/>
        <v>Morning</v>
      </c>
      <c r="S307" t="str">
        <f t="shared" si="14"/>
        <v>Low</v>
      </c>
    </row>
    <row r="308" spans="1:19">
      <c r="A308" s="14">
        <v>307</v>
      </c>
      <c r="B308" s="15">
        <v>40557</v>
      </c>
      <c r="C308" s="14">
        <v>1</v>
      </c>
      <c r="D308" s="14">
        <v>0</v>
      </c>
      <c r="E308" s="14">
        <v>1</v>
      </c>
      <c r="F308" s="14">
        <v>6</v>
      </c>
      <c r="G308" s="14" t="b">
        <v>0</v>
      </c>
      <c r="H308" s="14">
        <v>5</v>
      </c>
      <c r="I308" s="14">
        <v>1</v>
      </c>
      <c r="J308" s="14">
        <v>0.1</v>
      </c>
      <c r="K308">
        <f>VLOOKUP(A308,[1]dataset_2!B:H,2,FALSE)</f>
        <v>0.18179999999999999</v>
      </c>
      <c r="L308">
        <f>VLOOKUP(A308,[1]dataset_2!B:H,3,FALSE)</f>
        <v>0.54</v>
      </c>
      <c r="M308">
        <f>VLOOKUP(A308,[1]dataset_2!B:H,4,FALSE)</f>
        <v>0</v>
      </c>
      <c r="N308">
        <f>VLOOKUP(A308,[1]dataset_2!B:H,5,FALSE)</f>
        <v>0</v>
      </c>
      <c r="O308">
        <f>VLOOKUP(A308,[1]dataset_2!B:H,6,FALSE)</f>
        <v>17</v>
      </c>
      <c r="P308">
        <f>VLOOKUP(A308,[1]dataset_2!B:H,7,FALSE)</f>
        <v>17</v>
      </c>
      <c r="Q308" t="str">
        <f t="shared" si="12"/>
        <v>Weekday</v>
      </c>
      <c r="R308" t="str">
        <f t="shared" si="13"/>
        <v>Morning</v>
      </c>
      <c r="S308" t="str">
        <f t="shared" si="14"/>
        <v>Low</v>
      </c>
    </row>
    <row r="309" spans="1:19">
      <c r="A309" s="14">
        <v>308</v>
      </c>
      <c r="B309" s="15">
        <v>40557</v>
      </c>
      <c r="C309" s="14">
        <v>1</v>
      </c>
      <c r="D309" s="14">
        <v>0</v>
      </c>
      <c r="E309" s="14">
        <v>1</v>
      </c>
      <c r="F309" s="14">
        <v>7</v>
      </c>
      <c r="G309" s="14" t="b">
        <v>0</v>
      </c>
      <c r="H309" s="14">
        <v>5</v>
      </c>
      <c r="I309" s="14">
        <v>1</v>
      </c>
      <c r="J309" s="14">
        <v>0.1</v>
      </c>
      <c r="K309">
        <f>VLOOKUP(A309,[1]dataset_2!B:H,2,FALSE)</f>
        <v>0.1212</v>
      </c>
      <c r="L309">
        <f>VLOOKUP(A309,[1]dataset_2!B:H,3,FALSE)</f>
        <v>0.74</v>
      </c>
      <c r="M309">
        <f>VLOOKUP(A309,[1]dataset_2!B:H,4,FALSE)</f>
        <v>0.16420000000000001</v>
      </c>
      <c r="N309">
        <f>VLOOKUP(A309,[1]dataset_2!B:H,5,FALSE)</f>
        <v>0</v>
      </c>
      <c r="O309">
        <f>VLOOKUP(A309,[1]dataset_2!B:H,6,FALSE)</f>
        <v>70</v>
      </c>
      <c r="P309">
        <f>VLOOKUP(A309,[1]dataset_2!B:H,7,FALSE)</f>
        <v>70</v>
      </c>
      <c r="Q309" t="str">
        <f t="shared" si="12"/>
        <v>Weekday</v>
      </c>
      <c r="R309" t="str">
        <f t="shared" si="13"/>
        <v>Morning</v>
      </c>
      <c r="S309" t="str">
        <f t="shared" si="14"/>
        <v>Low</v>
      </c>
    </row>
    <row r="310" spans="1:19">
      <c r="A310" s="14">
        <v>309</v>
      </c>
      <c r="B310" s="15">
        <v>40557</v>
      </c>
      <c r="C310" s="14">
        <v>1</v>
      </c>
      <c r="D310" s="14">
        <v>0</v>
      </c>
      <c r="E310" s="14">
        <v>1</v>
      </c>
      <c r="F310" s="14">
        <v>8</v>
      </c>
      <c r="G310" s="14" t="b">
        <v>0</v>
      </c>
      <c r="H310" s="14">
        <v>5</v>
      </c>
      <c r="I310" s="14">
        <v>1</v>
      </c>
      <c r="J310" s="14">
        <v>0.12</v>
      </c>
      <c r="K310">
        <f>VLOOKUP(A310,[1]dataset_2!B:H,2,FALSE)</f>
        <v>0.16669999999999999</v>
      </c>
      <c r="L310">
        <f>VLOOKUP(A310,[1]dataset_2!B:H,3,FALSE)</f>
        <v>0.68</v>
      </c>
      <c r="M310">
        <f>VLOOKUP(A310,[1]dataset_2!B:H,4,FALSE)</f>
        <v>0</v>
      </c>
      <c r="N310">
        <f>VLOOKUP(A310,[1]dataset_2!B:H,5,FALSE)</f>
        <v>2</v>
      </c>
      <c r="O310">
        <f>VLOOKUP(A310,[1]dataset_2!B:H,6,FALSE)</f>
        <v>156</v>
      </c>
      <c r="P310">
        <f>VLOOKUP(A310,[1]dataset_2!B:H,7,FALSE)</f>
        <v>158</v>
      </c>
      <c r="Q310" t="str">
        <f t="shared" si="12"/>
        <v>Weekday</v>
      </c>
      <c r="R310" t="str">
        <f t="shared" si="13"/>
        <v>Morning</v>
      </c>
      <c r="S310" t="str">
        <f t="shared" si="14"/>
        <v>High</v>
      </c>
    </row>
    <row r="311" spans="1:19">
      <c r="A311" s="14">
        <v>310</v>
      </c>
      <c r="B311" s="15">
        <v>40557</v>
      </c>
      <c r="C311" s="14">
        <v>1</v>
      </c>
      <c r="D311" s="14">
        <v>0</v>
      </c>
      <c r="E311" s="14">
        <v>1</v>
      </c>
      <c r="F311" s="14">
        <v>9</v>
      </c>
      <c r="G311" s="14" t="b">
        <v>0</v>
      </c>
      <c r="H311" s="14">
        <v>5</v>
      </c>
      <c r="I311" s="14">
        <v>1</v>
      </c>
      <c r="J311" s="14">
        <v>0.14000000000000001</v>
      </c>
      <c r="K311">
        <f>VLOOKUP(A311,[1]dataset_2!B:H,2,FALSE)</f>
        <v>0.1515</v>
      </c>
      <c r="L311">
        <f>VLOOKUP(A311,[1]dataset_2!B:H,3,FALSE)</f>
        <v>0.69</v>
      </c>
      <c r="M311">
        <f>VLOOKUP(A311,[1]dataset_2!B:H,4,FALSE)</f>
        <v>0.1343</v>
      </c>
      <c r="N311">
        <f>VLOOKUP(A311,[1]dataset_2!B:H,5,FALSE)</f>
        <v>0</v>
      </c>
      <c r="O311">
        <f>VLOOKUP(A311,[1]dataset_2!B:H,6,FALSE)</f>
        <v>117</v>
      </c>
      <c r="P311">
        <f>VLOOKUP(A311,[1]dataset_2!B:H,7,FALSE)</f>
        <v>117</v>
      </c>
      <c r="Q311" t="str">
        <f t="shared" si="12"/>
        <v>Weekday</v>
      </c>
      <c r="R311" t="str">
        <f t="shared" si="13"/>
        <v>Morning</v>
      </c>
      <c r="S311" t="str">
        <f t="shared" si="14"/>
        <v>High</v>
      </c>
    </row>
    <row r="312" spans="1:19">
      <c r="A312" s="14">
        <v>311</v>
      </c>
      <c r="B312" s="15">
        <v>40557</v>
      </c>
      <c r="C312" s="14">
        <v>1</v>
      </c>
      <c r="D312" s="14">
        <v>0</v>
      </c>
      <c r="E312" s="14">
        <v>1</v>
      </c>
      <c r="F312" s="14">
        <v>10</v>
      </c>
      <c r="G312" s="14" t="b">
        <v>0</v>
      </c>
      <c r="H312" s="14">
        <v>5</v>
      </c>
      <c r="I312" s="14">
        <v>1</v>
      </c>
      <c r="J312" s="14">
        <v>0.18</v>
      </c>
      <c r="K312">
        <f>VLOOKUP(A312,[1]dataset_2!B:H,2,FALSE)</f>
        <v>0.18179999999999999</v>
      </c>
      <c r="L312">
        <f>VLOOKUP(A312,[1]dataset_2!B:H,3,FALSE)</f>
        <v>0.55000000000000004</v>
      </c>
      <c r="M312">
        <f>VLOOKUP(A312,[1]dataset_2!B:H,4,FALSE)</f>
        <v>0.19400000000000001</v>
      </c>
      <c r="N312">
        <f>VLOOKUP(A312,[1]dataset_2!B:H,5,FALSE)</f>
        <v>4</v>
      </c>
      <c r="O312">
        <f>VLOOKUP(A312,[1]dataset_2!B:H,6,FALSE)</f>
        <v>40</v>
      </c>
      <c r="P312">
        <f>VLOOKUP(A312,[1]dataset_2!B:H,7,FALSE)</f>
        <v>44</v>
      </c>
      <c r="Q312" t="str">
        <f t="shared" si="12"/>
        <v>Weekday</v>
      </c>
      <c r="R312" t="str">
        <f t="shared" si="13"/>
        <v>Morning</v>
      </c>
      <c r="S312" t="str">
        <f t="shared" si="14"/>
        <v>Low</v>
      </c>
    </row>
    <row r="313" spans="1:19">
      <c r="A313" s="14">
        <v>312</v>
      </c>
      <c r="B313" s="15">
        <v>40557</v>
      </c>
      <c r="C313" s="14">
        <v>1</v>
      </c>
      <c r="D313" s="14">
        <v>0</v>
      </c>
      <c r="E313" s="14">
        <v>1</v>
      </c>
      <c r="F313" s="14">
        <v>11</v>
      </c>
      <c r="G313" s="14" t="b">
        <v>0</v>
      </c>
      <c r="H313" s="14">
        <v>5</v>
      </c>
      <c r="I313" s="14">
        <v>1</v>
      </c>
      <c r="J313" s="14">
        <v>0.18</v>
      </c>
      <c r="K313">
        <f>VLOOKUP(A313,[1]dataset_2!B:H,2,FALSE)</f>
        <v>0.16669999999999999</v>
      </c>
      <c r="L313">
        <f>VLOOKUP(A313,[1]dataset_2!B:H,3,FALSE)</f>
        <v>0.51</v>
      </c>
      <c r="M313">
        <f>VLOOKUP(A313,[1]dataset_2!B:H,4,FALSE)</f>
        <v>0.28360000000000002</v>
      </c>
      <c r="N313">
        <f>VLOOKUP(A313,[1]dataset_2!B:H,5,FALSE)</f>
        <v>6</v>
      </c>
      <c r="O313">
        <f>VLOOKUP(A313,[1]dataset_2!B:H,6,FALSE)</f>
        <v>47</v>
      </c>
      <c r="P313">
        <f>VLOOKUP(A313,[1]dataset_2!B:H,7,FALSE)</f>
        <v>53</v>
      </c>
      <c r="Q313" t="str">
        <f t="shared" si="12"/>
        <v>Weekday</v>
      </c>
      <c r="R313" t="str">
        <f t="shared" si="13"/>
        <v>Morning</v>
      </c>
      <c r="S313" t="str">
        <f t="shared" si="14"/>
        <v>Low</v>
      </c>
    </row>
    <row r="314" spans="1:19">
      <c r="A314" s="14">
        <v>313</v>
      </c>
      <c r="B314" s="15">
        <v>40557</v>
      </c>
      <c r="C314" s="14">
        <v>1</v>
      </c>
      <c r="D314" s="14">
        <v>0</v>
      </c>
      <c r="E314" s="14">
        <v>1</v>
      </c>
      <c r="F314" s="14">
        <v>12</v>
      </c>
      <c r="G314" s="14" t="b">
        <v>0</v>
      </c>
      <c r="H314" s="14">
        <v>5</v>
      </c>
      <c r="I314" s="14">
        <v>1</v>
      </c>
      <c r="J314" s="14">
        <v>0.2</v>
      </c>
      <c r="K314">
        <f>VLOOKUP(A314,[1]dataset_2!B:H,2,FALSE)</f>
        <v>0.19700000000000001</v>
      </c>
      <c r="L314">
        <f>VLOOKUP(A314,[1]dataset_2!B:H,3,FALSE)</f>
        <v>0.44</v>
      </c>
      <c r="M314">
        <f>VLOOKUP(A314,[1]dataset_2!B:H,4,FALSE)</f>
        <v>0.25369999999999998</v>
      </c>
      <c r="N314">
        <f>VLOOKUP(A314,[1]dataset_2!B:H,5,FALSE)</f>
        <v>2</v>
      </c>
      <c r="O314">
        <f>VLOOKUP(A314,[1]dataset_2!B:H,6,FALSE)</f>
        <v>59</v>
      </c>
      <c r="P314">
        <f>VLOOKUP(A314,[1]dataset_2!B:H,7,FALSE)</f>
        <v>61</v>
      </c>
      <c r="Q314" t="str">
        <f t="shared" si="12"/>
        <v>Weekday</v>
      </c>
      <c r="R314" t="str">
        <f t="shared" si="13"/>
        <v>Afternoon</v>
      </c>
      <c r="S314" t="str">
        <f t="shared" si="14"/>
        <v>Low</v>
      </c>
    </row>
    <row r="315" spans="1:19">
      <c r="A315" s="14">
        <v>314</v>
      </c>
      <c r="B315" s="15">
        <v>40557</v>
      </c>
      <c r="C315" s="14">
        <v>1</v>
      </c>
      <c r="D315" s="14">
        <v>0</v>
      </c>
      <c r="E315" s="14">
        <v>1</v>
      </c>
      <c r="F315" s="14">
        <v>13</v>
      </c>
      <c r="G315" s="14" t="b">
        <v>0</v>
      </c>
      <c r="H315" s="14">
        <v>5</v>
      </c>
      <c r="I315" s="14">
        <v>1</v>
      </c>
      <c r="J315" s="14">
        <v>0.22</v>
      </c>
      <c r="K315">
        <f>VLOOKUP(A315,[1]dataset_2!B:H,2,FALSE)</f>
        <v>0.19700000000000001</v>
      </c>
      <c r="L315">
        <f>VLOOKUP(A315,[1]dataset_2!B:H,3,FALSE)</f>
        <v>0.37</v>
      </c>
      <c r="M315">
        <f>VLOOKUP(A315,[1]dataset_2!B:H,4,FALSE)</f>
        <v>0.3881</v>
      </c>
      <c r="N315">
        <f>VLOOKUP(A315,[1]dataset_2!B:H,5,FALSE)</f>
        <v>4</v>
      </c>
      <c r="O315">
        <f>VLOOKUP(A315,[1]dataset_2!B:H,6,FALSE)</f>
        <v>73</v>
      </c>
      <c r="P315">
        <f>VLOOKUP(A315,[1]dataset_2!B:H,7,FALSE)</f>
        <v>77</v>
      </c>
      <c r="Q315" t="str">
        <f t="shared" si="12"/>
        <v>Weekday</v>
      </c>
      <c r="R315" t="str">
        <f t="shared" si="13"/>
        <v>Afternoon</v>
      </c>
      <c r="S315" t="str">
        <f t="shared" si="14"/>
        <v>Low</v>
      </c>
    </row>
    <row r="316" spans="1:19">
      <c r="A316" s="14">
        <v>315</v>
      </c>
      <c r="B316" s="15">
        <v>40557</v>
      </c>
      <c r="C316" s="14">
        <v>1</v>
      </c>
      <c r="D316" s="14">
        <v>0</v>
      </c>
      <c r="E316" s="14">
        <v>1</v>
      </c>
      <c r="F316" s="14">
        <v>14</v>
      </c>
      <c r="G316" s="14" t="b">
        <v>0</v>
      </c>
      <c r="H316" s="14">
        <v>5</v>
      </c>
      <c r="I316" s="14">
        <v>1</v>
      </c>
      <c r="J316" s="14">
        <v>0.22</v>
      </c>
      <c r="K316">
        <f>VLOOKUP(A316,[1]dataset_2!B:H,2,FALSE)</f>
        <v>0.21210000000000001</v>
      </c>
      <c r="L316">
        <f>VLOOKUP(A316,[1]dataset_2!B:H,3,FALSE)</f>
        <v>0.41</v>
      </c>
      <c r="M316">
        <f>VLOOKUP(A316,[1]dataset_2!B:H,4,FALSE)</f>
        <v>0.28360000000000002</v>
      </c>
      <c r="N316">
        <f>VLOOKUP(A316,[1]dataset_2!B:H,5,FALSE)</f>
        <v>5</v>
      </c>
      <c r="O316">
        <f>VLOOKUP(A316,[1]dataset_2!B:H,6,FALSE)</f>
        <v>59</v>
      </c>
      <c r="P316">
        <f>VLOOKUP(A316,[1]dataset_2!B:H,7,FALSE)</f>
        <v>64</v>
      </c>
      <c r="Q316" t="str">
        <f t="shared" si="12"/>
        <v>Weekday</v>
      </c>
      <c r="R316" t="str">
        <f t="shared" si="13"/>
        <v>Afternoon</v>
      </c>
      <c r="S316" t="str">
        <f t="shared" si="14"/>
        <v>Low</v>
      </c>
    </row>
    <row r="317" spans="1:19">
      <c r="A317" s="14">
        <v>316</v>
      </c>
      <c r="B317" s="15">
        <v>40557</v>
      </c>
      <c r="C317" s="14">
        <v>1</v>
      </c>
      <c r="D317" s="14">
        <v>0</v>
      </c>
      <c r="E317" s="14">
        <v>1</v>
      </c>
      <c r="F317" s="14">
        <v>15</v>
      </c>
      <c r="G317" s="14" t="b">
        <v>0</v>
      </c>
      <c r="H317" s="14">
        <v>5</v>
      </c>
      <c r="I317" s="14">
        <v>1</v>
      </c>
      <c r="J317" s="14">
        <v>0.24</v>
      </c>
      <c r="K317">
        <f>VLOOKUP(A317,[1]dataset_2!B:H,2,FALSE)</f>
        <v>0.2424</v>
      </c>
      <c r="L317">
        <f>VLOOKUP(A317,[1]dataset_2!B:H,3,FALSE)</f>
        <v>0.38</v>
      </c>
      <c r="M317">
        <f>VLOOKUP(A317,[1]dataset_2!B:H,4,FALSE)</f>
        <v>0.16420000000000001</v>
      </c>
      <c r="N317">
        <f>VLOOKUP(A317,[1]dataset_2!B:H,5,FALSE)</f>
        <v>9</v>
      </c>
      <c r="O317">
        <f>VLOOKUP(A317,[1]dataset_2!B:H,6,FALSE)</f>
        <v>59</v>
      </c>
      <c r="P317">
        <f>VLOOKUP(A317,[1]dataset_2!B:H,7,FALSE)</f>
        <v>68</v>
      </c>
      <c r="Q317" t="str">
        <f t="shared" si="12"/>
        <v>Weekday</v>
      </c>
      <c r="R317" t="str">
        <f t="shared" si="13"/>
        <v>Afternoon</v>
      </c>
      <c r="S317" t="str">
        <f t="shared" si="14"/>
        <v>Low</v>
      </c>
    </row>
    <row r="318" spans="1:19">
      <c r="A318" s="14">
        <v>317</v>
      </c>
      <c r="B318" s="15">
        <v>40557</v>
      </c>
      <c r="C318" s="14">
        <v>1</v>
      </c>
      <c r="D318" s="14">
        <v>0</v>
      </c>
      <c r="E318" s="14">
        <v>1</v>
      </c>
      <c r="F318" s="14">
        <v>16</v>
      </c>
      <c r="G318" s="14" t="b">
        <v>0</v>
      </c>
      <c r="H318" s="14">
        <v>5</v>
      </c>
      <c r="I318" s="14">
        <v>1</v>
      </c>
      <c r="J318" s="14">
        <v>0.22</v>
      </c>
      <c r="K318">
        <f>VLOOKUP(A318,[1]dataset_2!B:H,2,FALSE)</f>
        <v>0.2424</v>
      </c>
      <c r="L318">
        <f>VLOOKUP(A318,[1]dataset_2!B:H,3,FALSE)</f>
        <v>0.41</v>
      </c>
      <c r="M318">
        <f>VLOOKUP(A318,[1]dataset_2!B:H,4,FALSE)</f>
        <v>0.1045</v>
      </c>
      <c r="N318">
        <f>VLOOKUP(A318,[1]dataset_2!B:H,5,FALSE)</f>
        <v>3</v>
      </c>
      <c r="O318">
        <f>VLOOKUP(A318,[1]dataset_2!B:H,6,FALSE)</f>
        <v>87</v>
      </c>
      <c r="P318">
        <f>VLOOKUP(A318,[1]dataset_2!B:H,7,FALSE)</f>
        <v>90</v>
      </c>
      <c r="Q318" t="str">
        <f t="shared" si="12"/>
        <v>Weekday</v>
      </c>
      <c r="R318" t="str">
        <f t="shared" si="13"/>
        <v>Afternoon</v>
      </c>
      <c r="S318" t="str">
        <f t="shared" si="14"/>
        <v>Low</v>
      </c>
    </row>
    <row r="319" spans="1:19">
      <c r="A319" s="14">
        <v>318</v>
      </c>
      <c r="B319" s="15">
        <v>40557</v>
      </c>
      <c r="C319" s="14">
        <v>1</v>
      </c>
      <c r="D319" s="14">
        <v>0</v>
      </c>
      <c r="E319" s="14">
        <v>1</v>
      </c>
      <c r="F319" s="14">
        <v>17</v>
      </c>
      <c r="G319" s="14" t="b">
        <v>0</v>
      </c>
      <c r="H319" s="14">
        <v>5</v>
      </c>
      <c r="I319" s="14">
        <v>1</v>
      </c>
      <c r="J319" s="14">
        <v>0.22</v>
      </c>
      <c r="K319">
        <f>VLOOKUP(A319,[1]dataset_2!B:H,2,FALSE)</f>
        <v>0.2273</v>
      </c>
      <c r="L319">
        <f>VLOOKUP(A319,[1]dataset_2!B:H,3,FALSE)</f>
        <v>0.41</v>
      </c>
      <c r="M319">
        <f>VLOOKUP(A319,[1]dataset_2!B:H,4,FALSE)</f>
        <v>0.16420000000000001</v>
      </c>
      <c r="N319">
        <f>VLOOKUP(A319,[1]dataset_2!B:H,5,FALSE)</f>
        <v>4</v>
      </c>
      <c r="O319">
        <f>VLOOKUP(A319,[1]dataset_2!B:H,6,FALSE)</f>
        <v>155</v>
      </c>
      <c r="P319">
        <f>VLOOKUP(A319,[1]dataset_2!B:H,7,FALSE)</f>
        <v>159</v>
      </c>
      <c r="Q319" t="str">
        <f t="shared" si="12"/>
        <v>Weekday</v>
      </c>
      <c r="R319" t="str">
        <f t="shared" si="13"/>
        <v>Afternoon</v>
      </c>
      <c r="S319" t="str">
        <f t="shared" si="14"/>
        <v>High</v>
      </c>
    </row>
    <row r="320" spans="1:19">
      <c r="A320" s="14">
        <v>319</v>
      </c>
      <c r="B320" s="15">
        <v>40557</v>
      </c>
      <c r="C320" s="14">
        <v>1</v>
      </c>
      <c r="D320" s="14">
        <v>0</v>
      </c>
      <c r="E320" s="14">
        <v>1</v>
      </c>
      <c r="F320" s="14">
        <v>18</v>
      </c>
      <c r="G320" s="14" t="b">
        <v>0</v>
      </c>
      <c r="H320" s="14">
        <v>5</v>
      </c>
      <c r="I320" s="14">
        <v>1</v>
      </c>
      <c r="J320" s="14">
        <v>0.2</v>
      </c>
      <c r="K320">
        <f>VLOOKUP(A320,[1]dataset_2!B:H,2,FALSE)</f>
        <v>0.2576</v>
      </c>
      <c r="L320">
        <f>VLOOKUP(A320,[1]dataset_2!B:H,3,FALSE)</f>
        <v>0.47</v>
      </c>
      <c r="M320">
        <f>VLOOKUP(A320,[1]dataset_2!B:H,4,FALSE)</f>
        <v>0</v>
      </c>
      <c r="N320">
        <f>VLOOKUP(A320,[1]dataset_2!B:H,5,FALSE)</f>
        <v>5</v>
      </c>
      <c r="O320">
        <f>VLOOKUP(A320,[1]dataset_2!B:H,6,FALSE)</f>
        <v>134</v>
      </c>
      <c r="P320">
        <f>VLOOKUP(A320,[1]dataset_2!B:H,7,FALSE)</f>
        <v>139</v>
      </c>
      <c r="Q320" t="str">
        <f t="shared" si="12"/>
        <v>Weekday</v>
      </c>
      <c r="R320" t="str">
        <f t="shared" si="13"/>
        <v>Evening</v>
      </c>
      <c r="S320" t="str">
        <f t="shared" si="14"/>
        <v>High</v>
      </c>
    </row>
    <row r="321" spans="1:19">
      <c r="A321" s="14">
        <v>320</v>
      </c>
      <c r="B321" s="15">
        <v>40557</v>
      </c>
      <c r="C321" s="14">
        <v>1</v>
      </c>
      <c r="D321" s="14">
        <v>0</v>
      </c>
      <c r="E321" s="14">
        <v>1</v>
      </c>
      <c r="F321" s="14">
        <v>19</v>
      </c>
      <c r="G321" s="14" t="b">
        <v>0</v>
      </c>
      <c r="H321" s="14">
        <v>5</v>
      </c>
      <c r="I321" s="14">
        <v>1</v>
      </c>
      <c r="J321" s="14">
        <v>0.16</v>
      </c>
      <c r="K321">
        <f>VLOOKUP(A321,[1]dataset_2!B:H,2,FALSE)</f>
        <v>0.19700000000000001</v>
      </c>
      <c r="L321">
        <f>VLOOKUP(A321,[1]dataset_2!B:H,3,FALSE)</f>
        <v>0.59</v>
      </c>
      <c r="M321">
        <f>VLOOKUP(A321,[1]dataset_2!B:H,4,FALSE)</f>
        <v>8.9599999999999999E-2</v>
      </c>
      <c r="N321">
        <f>VLOOKUP(A321,[1]dataset_2!B:H,5,FALSE)</f>
        <v>3</v>
      </c>
      <c r="O321">
        <f>VLOOKUP(A321,[1]dataset_2!B:H,6,FALSE)</f>
        <v>89</v>
      </c>
      <c r="P321">
        <f>VLOOKUP(A321,[1]dataset_2!B:H,7,FALSE)</f>
        <v>92</v>
      </c>
      <c r="Q321" t="str">
        <f t="shared" si="12"/>
        <v>Weekday</v>
      </c>
      <c r="R321" t="str">
        <f t="shared" si="13"/>
        <v>Evening</v>
      </c>
      <c r="S321" t="str">
        <f t="shared" si="14"/>
        <v>Low</v>
      </c>
    </row>
    <row r="322" spans="1:19">
      <c r="A322" s="14">
        <v>321</v>
      </c>
      <c r="B322" s="15">
        <v>40557</v>
      </c>
      <c r="C322" s="14">
        <v>1</v>
      </c>
      <c r="D322" s="14">
        <v>0</v>
      </c>
      <c r="E322" s="14">
        <v>1</v>
      </c>
      <c r="F322" s="14">
        <v>20</v>
      </c>
      <c r="G322" s="14" t="b">
        <v>0</v>
      </c>
      <c r="H322" s="14">
        <v>5</v>
      </c>
      <c r="I322" s="14">
        <v>1</v>
      </c>
      <c r="J322" s="14">
        <v>0.18</v>
      </c>
      <c r="K322">
        <f>VLOOKUP(A322,[1]dataset_2!B:H,2,FALSE)</f>
        <v>0.2424</v>
      </c>
      <c r="L322">
        <f>VLOOKUP(A322,[1]dataset_2!B:H,3,FALSE)</f>
        <v>0.59</v>
      </c>
      <c r="M322">
        <f>VLOOKUP(A322,[1]dataset_2!B:H,4,FALSE)</f>
        <v>0</v>
      </c>
      <c r="N322">
        <f>VLOOKUP(A322,[1]dataset_2!B:H,5,FALSE)</f>
        <v>0</v>
      </c>
      <c r="O322">
        <f>VLOOKUP(A322,[1]dataset_2!B:H,6,FALSE)</f>
        <v>68</v>
      </c>
      <c r="P322">
        <f>VLOOKUP(A322,[1]dataset_2!B:H,7,FALSE)</f>
        <v>68</v>
      </c>
      <c r="Q322" t="str">
        <f t="shared" si="12"/>
        <v>Weekday</v>
      </c>
      <c r="R322" t="str">
        <f t="shared" si="13"/>
        <v>Evening</v>
      </c>
      <c r="S322" t="str">
        <f t="shared" si="14"/>
        <v>Low</v>
      </c>
    </row>
    <row r="323" spans="1:19">
      <c r="A323" s="14">
        <v>322</v>
      </c>
      <c r="B323" s="15">
        <v>40557</v>
      </c>
      <c r="C323" s="14">
        <v>1</v>
      </c>
      <c r="D323" s="14">
        <v>0</v>
      </c>
      <c r="E323" s="14">
        <v>1</v>
      </c>
      <c r="F323" s="14">
        <v>21</v>
      </c>
      <c r="G323" s="14" t="b">
        <v>0</v>
      </c>
      <c r="H323" s="14">
        <v>5</v>
      </c>
      <c r="I323" s="14">
        <v>1</v>
      </c>
      <c r="J323" s="14">
        <v>0.16</v>
      </c>
      <c r="K323">
        <f>VLOOKUP(A323,[1]dataset_2!B:H,2,FALSE)</f>
        <v>0.2273</v>
      </c>
      <c r="L323">
        <f>VLOOKUP(A323,[1]dataset_2!B:H,3,FALSE)</f>
        <v>0.69</v>
      </c>
      <c r="M323">
        <f>VLOOKUP(A323,[1]dataset_2!B:H,4,FALSE)</f>
        <v>0</v>
      </c>
      <c r="N323">
        <f>VLOOKUP(A323,[1]dataset_2!B:H,5,FALSE)</f>
        <v>4</v>
      </c>
      <c r="O323">
        <f>VLOOKUP(A323,[1]dataset_2!B:H,6,FALSE)</f>
        <v>48</v>
      </c>
      <c r="P323">
        <f>VLOOKUP(A323,[1]dataset_2!B:H,7,FALSE)</f>
        <v>52</v>
      </c>
      <c r="Q323" t="str">
        <f t="shared" ref="Q323:Q386" si="15">IF(OR(H323=0,H323=6),"Weekend","Weekday")</f>
        <v>Weekday</v>
      </c>
      <c r="R323" t="str">
        <f t="shared" ref="R323:R386" si="16">IF(F323&lt;12,"Morning",IF(F323&lt;18,"Afternoon","Evening"))</f>
        <v>Evening</v>
      </c>
      <c r="S323" t="str">
        <f t="shared" ref="S323:S386" si="17">IF(P323&gt;100,"High","Low")</f>
        <v>Low</v>
      </c>
    </row>
    <row r="324" spans="1:19">
      <c r="A324" s="14">
        <v>323</v>
      </c>
      <c r="B324" s="15">
        <v>40557</v>
      </c>
      <c r="C324" s="14">
        <v>1</v>
      </c>
      <c r="D324" s="14">
        <v>0</v>
      </c>
      <c r="E324" s="14">
        <v>1</v>
      </c>
      <c r="F324" s="14">
        <v>22</v>
      </c>
      <c r="G324" s="14" t="b">
        <v>0</v>
      </c>
      <c r="H324" s="14">
        <v>5</v>
      </c>
      <c r="I324" s="14">
        <v>2</v>
      </c>
      <c r="J324" s="14">
        <v>0.16</v>
      </c>
      <c r="K324">
        <f>VLOOKUP(A324,[1]dataset_2!B:H,2,FALSE)</f>
        <v>0.2273</v>
      </c>
      <c r="L324">
        <f>VLOOKUP(A324,[1]dataset_2!B:H,3,FALSE)</f>
        <v>0.69</v>
      </c>
      <c r="M324">
        <f>VLOOKUP(A324,[1]dataset_2!B:H,4,FALSE)</f>
        <v>0</v>
      </c>
      <c r="N324">
        <f>VLOOKUP(A324,[1]dataset_2!B:H,5,FALSE)</f>
        <v>2</v>
      </c>
      <c r="O324">
        <f>VLOOKUP(A324,[1]dataset_2!B:H,6,FALSE)</f>
        <v>34</v>
      </c>
      <c r="P324">
        <f>VLOOKUP(A324,[1]dataset_2!B:H,7,FALSE)</f>
        <v>36</v>
      </c>
      <c r="Q324" t="str">
        <f t="shared" si="15"/>
        <v>Weekday</v>
      </c>
      <c r="R324" t="str">
        <f t="shared" si="16"/>
        <v>Evening</v>
      </c>
      <c r="S324" t="str">
        <f t="shared" si="17"/>
        <v>Low</v>
      </c>
    </row>
    <row r="325" spans="1:19">
      <c r="A325" s="14">
        <v>324</v>
      </c>
      <c r="B325" s="15">
        <v>40557</v>
      </c>
      <c r="C325" s="14">
        <v>1</v>
      </c>
      <c r="D325" s="14">
        <v>0</v>
      </c>
      <c r="E325" s="14">
        <v>1</v>
      </c>
      <c r="F325" s="14">
        <v>23</v>
      </c>
      <c r="G325" s="14" t="b">
        <v>0</v>
      </c>
      <c r="H325" s="14">
        <v>5</v>
      </c>
      <c r="I325" s="14">
        <v>2</v>
      </c>
      <c r="J325" s="14">
        <v>0.18</v>
      </c>
      <c r="K325">
        <f>VLOOKUP(A325,[1]dataset_2!B:H,2,FALSE)</f>
        <v>0.2424</v>
      </c>
      <c r="L325">
        <f>VLOOKUP(A325,[1]dataset_2!B:H,3,FALSE)</f>
        <v>0.55000000000000004</v>
      </c>
      <c r="M325">
        <f>VLOOKUP(A325,[1]dataset_2!B:H,4,FALSE)</f>
        <v>0</v>
      </c>
      <c r="N325">
        <f>VLOOKUP(A325,[1]dataset_2!B:H,5,FALSE)</f>
        <v>1</v>
      </c>
      <c r="O325">
        <f>VLOOKUP(A325,[1]dataset_2!B:H,6,FALSE)</f>
        <v>26</v>
      </c>
      <c r="P325">
        <f>VLOOKUP(A325,[1]dataset_2!B:H,7,FALSE)</f>
        <v>27</v>
      </c>
      <c r="Q325" t="str">
        <f t="shared" si="15"/>
        <v>Weekday</v>
      </c>
      <c r="R325" t="str">
        <f t="shared" si="16"/>
        <v>Evening</v>
      </c>
      <c r="S325" t="str">
        <f t="shared" si="17"/>
        <v>Low</v>
      </c>
    </row>
    <row r="326" spans="1:19">
      <c r="A326" s="14">
        <v>325</v>
      </c>
      <c r="B326" s="15">
        <v>40558</v>
      </c>
      <c r="C326" s="14">
        <v>1</v>
      </c>
      <c r="D326" s="14">
        <v>0</v>
      </c>
      <c r="E326" s="14">
        <v>1</v>
      </c>
      <c r="F326" s="14">
        <v>0</v>
      </c>
      <c r="G326" s="14" t="b">
        <v>0</v>
      </c>
      <c r="H326" s="14">
        <v>6</v>
      </c>
      <c r="I326" s="14">
        <v>1</v>
      </c>
      <c r="J326" s="14">
        <v>0.18</v>
      </c>
      <c r="K326">
        <f>VLOOKUP(A326,[1]dataset_2!B:H,2,FALSE)</f>
        <v>0.2424</v>
      </c>
      <c r="L326">
        <f>VLOOKUP(A326,[1]dataset_2!B:H,3,FALSE)</f>
        <v>0.55000000000000004</v>
      </c>
      <c r="M326">
        <f>VLOOKUP(A326,[1]dataset_2!B:H,4,FALSE)</f>
        <v>0</v>
      </c>
      <c r="N326">
        <f>VLOOKUP(A326,[1]dataset_2!B:H,5,FALSE)</f>
        <v>3</v>
      </c>
      <c r="O326">
        <f>VLOOKUP(A326,[1]dataset_2!B:H,6,FALSE)</f>
        <v>25</v>
      </c>
      <c r="P326">
        <f>VLOOKUP(A326,[1]dataset_2!B:H,7,FALSE)</f>
        <v>28</v>
      </c>
      <c r="Q326" t="str">
        <f t="shared" si="15"/>
        <v>Weekend</v>
      </c>
      <c r="R326" t="str">
        <f t="shared" si="16"/>
        <v>Morning</v>
      </c>
      <c r="S326" t="str">
        <f t="shared" si="17"/>
        <v>Low</v>
      </c>
    </row>
    <row r="327" spans="1:19">
      <c r="A327" s="14">
        <v>326</v>
      </c>
      <c r="B327" s="15">
        <v>40558</v>
      </c>
      <c r="C327" s="14">
        <v>1</v>
      </c>
      <c r="D327" s="14">
        <v>0</v>
      </c>
      <c r="E327" s="14">
        <v>1</v>
      </c>
      <c r="F327" s="14">
        <v>1</v>
      </c>
      <c r="G327" s="14" t="b">
        <v>0</v>
      </c>
      <c r="H327" s="14">
        <v>6</v>
      </c>
      <c r="I327" s="14">
        <v>2</v>
      </c>
      <c r="J327" s="14">
        <v>0.16</v>
      </c>
      <c r="K327">
        <f>VLOOKUP(A327,[1]dataset_2!B:H,2,FALSE)</f>
        <v>0.19700000000000001</v>
      </c>
      <c r="L327">
        <f>VLOOKUP(A327,[1]dataset_2!B:H,3,FALSE)</f>
        <v>0.59</v>
      </c>
      <c r="M327">
        <f>VLOOKUP(A327,[1]dataset_2!B:H,4,FALSE)</f>
        <v>8.9599999999999999E-2</v>
      </c>
      <c r="N327">
        <f>VLOOKUP(A327,[1]dataset_2!B:H,5,FALSE)</f>
        <v>2</v>
      </c>
      <c r="O327">
        <f>VLOOKUP(A327,[1]dataset_2!B:H,6,FALSE)</f>
        <v>18</v>
      </c>
      <c r="P327">
        <f>VLOOKUP(A327,[1]dataset_2!B:H,7,FALSE)</f>
        <v>20</v>
      </c>
      <c r="Q327" t="str">
        <f t="shared" si="15"/>
        <v>Weekend</v>
      </c>
      <c r="R327" t="str">
        <f t="shared" si="16"/>
        <v>Morning</v>
      </c>
      <c r="S327" t="str">
        <f t="shared" si="17"/>
        <v>Low</v>
      </c>
    </row>
    <row r="328" spans="1:19">
      <c r="A328" s="14">
        <v>327</v>
      </c>
      <c r="B328" s="15">
        <v>40558</v>
      </c>
      <c r="C328" s="14">
        <v>1</v>
      </c>
      <c r="D328" s="14">
        <v>0</v>
      </c>
      <c r="E328" s="14">
        <v>1</v>
      </c>
      <c r="F328" s="14">
        <v>2</v>
      </c>
      <c r="G328" s="14" t="b">
        <v>0</v>
      </c>
      <c r="H328" s="14">
        <v>6</v>
      </c>
      <c r="I328" s="14">
        <v>2</v>
      </c>
      <c r="J328" s="14">
        <v>0.16</v>
      </c>
      <c r="K328">
        <f>VLOOKUP(A328,[1]dataset_2!B:H,2,FALSE)</f>
        <v>0.19700000000000001</v>
      </c>
      <c r="L328">
        <f>VLOOKUP(A328,[1]dataset_2!B:H,3,FALSE)</f>
        <v>0.59</v>
      </c>
      <c r="M328">
        <f>VLOOKUP(A328,[1]dataset_2!B:H,4,FALSE)</f>
        <v>8.9599999999999999E-2</v>
      </c>
      <c r="N328">
        <f>VLOOKUP(A328,[1]dataset_2!B:H,5,FALSE)</f>
        <v>0</v>
      </c>
      <c r="O328">
        <f>VLOOKUP(A328,[1]dataset_2!B:H,6,FALSE)</f>
        <v>12</v>
      </c>
      <c r="P328">
        <f>VLOOKUP(A328,[1]dataset_2!B:H,7,FALSE)</f>
        <v>12</v>
      </c>
      <c r="Q328" t="str">
        <f t="shared" si="15"/>
        <v>Weekend</v>
      </c>
      <c r="R328" t="str">
        <f t="shared" si="16"/>
        <v>Morning</v>
      </c>
      <c r="S328" t="str">
        <f t="shared" si="17"/>
        <v>Low</v>
      </c>
    </row>
    <row r="329" spans="1:19">
      <c r="A329" s="14">
        <v>328</v>
      </c>
      <c r="B329" s="15">
        <v>40558</v>
      </c>
      <c r="C329" s="14">
        <v>1</v>
      </c>
      <c r="D329" s="14">
        <v>0</v>
      </c>
      <c r="E329" s="14">
        <v>1</v>
      </c>
      <c r="F329" s="14">
        <v>3</v>
      </c>
      <c r="G329" s="14" t="b">
        <v>0</v>
      </c>
      <c r="H329" s="14">
        <v>6</v>
      </c>
      <c r="I329" s="14">
        <v>2</v>
      </c>
      <c r="J329" s="14">
        <v>0.16</v>
      </c>
      <c r="K329">
        <f>VLOOKUP(A329,[1]dataset_2!B:H,2,FALSE)</f>
        <v>0.2273</v>
      </c>
      <c r="L329">
        <f>VLOOKUP(A329,[1]dataset_2!B:H,3,FALSE)</f>
        <v>0.59</v>
      </c>
      <c r="M329">
        <f>VLOOKUP(A329,[1]dataset_2!B:H,4,FALSE)</f>
        <v>0</v>
      </c>
      <c r="N329">
        <f>VLOOKUP(A329,[1]dataset_2!B:H,5,FALSE)</f>
        <v>1</v>
      </c>
      <c r="O329">
        <f>VLOOKUP(A329,[1]dataset_2!B:H,6,FALSE)</f>
        <v>7</v>
      </c>
      <c r="P329">
        <f>VLOOKUP(A329,[1]dataset_2!B:H,7,FALSE)</f>
        <v>8</v>
      </c>
      <c r="Q329" t="str">
        <f t="shared" si="15"/>
        <v>Weekend</v>
      </c>
      <c r="R329" t="str">
        <f t="shared" si="16"/>
        <v>Morning</v>
      </c>
      <c r="S329" t="str">
        <f t="shared" si="17"/>
        <v>Low</v>
      </c>
    </row>
    <row r="330" spans="1:19">
      <c r="A330" s="14">
        <v>329</v>
      </c>
      <c r="B330" s="15">
        <v>40558</v>
      </c>
      <c r="C330" s="14">
        <v>1</v>
      </c>
      <c r="D330" s="14">
        <v>0</v>
      </c>
      <c r="E330" s="14">
        <v>1</v>
      </c>
      <c r="F330" s="14">
        <v>4</v>
      </c>
      <c r="G330" s="14" t="b">
        <v>0</v>
      </c>
      <c r="H330" s="14">
        <v>6</v>
      </c>
      <c r="I330" s="14">
        <v>2</v>
      </c>
      <c r="J330" s="14">
        <v>0.16</v>
      </c>
      <c r="K330">
        <f>VLOOKUP(A330,[1]dataset_2!B:H,2,FALSE)</f>
        <v>0.2273</v>
      </c>
      <c r="L330">
        <f>VLOOKUP(A330,[1]dataset_2!B:H,3,FALSE)</f>
        <v>0.59</v>
      </c>
      <c r="M330">
        <f>VLOOKUP(A330,[1]dataset_2!B:H,4,FALSE)</f>
        <v>0</v>
      </c>
      <c r="N330">
        <f>VLOOKUP(A330,[1]dataset_2!B:H,5,FALSE)</f>
        <v>0</v>
      </c>
      <c r="O330">
        <f>VLOOKUP(A330,[1]dataset_2!B:H,6,FALSE)</f>
        <v>5</v>
      </c>
      <c r="P330">
        <f>VLOOKUP(A330,[1]dataset_2!B:H,7,FALSE)</f>
        <v>5</v>
      </c>
      <c r="Q330" t="str">
        <f t="shared" si="15"/>
        <v>Weekend</v>
      </c>
      <c r="R330" t="str">
        <f t="shared" si="16"/>
        <v>Morning</v>
      </c>
      <c r="S330" t="str">
        <f t="shared" si="17"/>
        <v>Low</v>
      </c>
    </row>
    <row r="331" spans="1:19">
      <c r="A331" s="14">
        <v>330</v>
      </c>
      <c r="B331" s="15">
        <v>40558</v>
      </c>
      <c r="C331" s="14">
        <v>1</v>
      </c>
      <c r="D331" s="14">
        <v>0</v>
      </c>
      <c r="E331" s="14">
        <v>1</v>
      </c>
      <c r="F331" s="14">
        <v>5</v>
      </c>
      <c r="G331" s="14" t="b">
        <v>0</v>
      </c>
      <c r="H331" s="14">
        <v>6</v>
      </c>
      <c r="I331" s="14">
        <v>1</v>
      </c>
      <c r="J331" s="14">
        <v>0.16</v>
      </c>
      <c r="K331">
        <f>VLOOKUP(A331,[1]dataset_2!B:H,2,FALSE)</f>
        <v>0.2273</v>
      </c>
      <c r="L331">
        <f>VLOOKUP(A331,[1]dataset_2!B:H,3,FALSE)</f>
        <v>0.59</v>
      </c>
      <c r="M331">
        <f>VLOOKUP(A331,[1]dataset_2!B:H,4,FALSE)</f>
        <v>0</v>
      </c>
      <c r="N331">
        <f>VLOOKUP(A331,[1]dataset_2!B:H,5,FALSE)</f>
        <v>0</v>
      </c>
      <c r="O331">
        <f>VLOOKUP(A331,[1]dataset_2!B:H,6,FALSE)</f>
        <v>1</v>
      </c>
      <c r="P331">
        <f>VLOOKUP(A331,[1]dataset_2!B:H,7,FALSE)</f>
        <v>1</v>
      </c>
      <c r="Q331" t="str">
        <f t="shared" si="15"/>
        <v>Weekend</v>
      </c>
      <c r="R331" t="str">
        <f t="shared" si="16"/>
        <v>Morning</v>
      </c>
      <c r="S331" t="str">
        <f t="shared" si="17"/>
        <v>Low</v>
      </c>
    </row>
    <row r="332" spans="1:19">
      <c r="A332" s="14">
        <v>331</v>
      </c>
      <c r="B332" s="15">
        <v>40558</v>
      </c>
      <c r="C332" s="14">
        <v>1</v>
      </c>
      <c r="D332" s="14">
        <v>0</v>
      </c>
      <c r="E332" s="14">
        <v>1</v>
      </c>
      <c r="F332" s="14">
        <v>6</v>
      </c>
      <c r="G332" s="14" t="b">
        <v>0</v>
      </c>
      <c r="H332" s="14">
        <v>6</v>
      </c>
      <c r="I332" s="14">
        <v>1</v>
      </c>
      <c r="J332" s="14">
        <v>0.14000000000000001</v>
      </c>
      <c r="K332">
        <f>VLOOKUP(A332,[1]dataset_2!B:H,2,FALSE)</f>
        <v>0.16669999999999999</v>
      </c>
      <c r="L332">
        <f>VLOOKUP(A332,[1]dataset_2!B:H,3,FALSE)</f>
        <v>0.63</v>
      </c>
      <c r="M332">
        <f>VLOOKUP(A332,[1]dataset_2!B:H,4,FALSE)</f>
        <v>0.1045</v>
      </c>
      <c r="N332">
        <f>VLOOKUP(A332,[1]dataset_2!B:H,5,FALSE)</f>
        <v>1</v>
      </c>
      <c r="O332">
        <f>VLOOKUP(A332,[1]dataset_2!B:H,6,FALSE)</f>
        <v>2</v>
      </c>
      <c r="P332">
        <f>VLOOKUP(A332,[1]dataset_2!B:H,7,FALSE)</f>
        <v>3</v>
      </c>
      <c r="Q332" t="str">
        <f t="shared" si="15"/>
        <v>Weekend</v>
      </c>
      <c r="R332" t="str">
        <f t="shared" si="16"/>
        <v>Morning</v>
      </c>
      <c r="S332" t="str">
        <f t="shared" si="17"/>
        <v>Low</v>
      </c>
    </row>
    <row r="333" spans="1:19">
      <c r="A333" s="14">
        <v>332</v>
      </c>
      <c r="B333" s="15">
        <v>40558</v>
      </c>
      <c r="C333" s="14">
        <v>1</v>
      </c>
      <c r="D333" s="14">
        <v>0</v>
      </c>
      <c r="E333" s="14">
        <v>1</v>
      </c>
      <c r="F333" s="14">
        <v>7</v>
      </c>
      <c r="G333" s="14" t="b">
        <v>0</v>
      </c>
      <c r="H333" s="14">
        <v>6</v>
      </c>
      <c r="I333" s="14">
        <v>1</v>
      </c>
      <c r="J333" s="14">
        <v>0.14000000000000001</v>
      </c>
      <c r="K333">
        <f>VLOOKUP(A333,[1]dataset_2!B:H,2,FALSE)</f>
        <v>0.21210000000000001</v>
      </c>
      <c r="L333">
        <f>VLOOKUP(A333,[1]dataset_2!B:H,3,FALSE)</f>
        <v>0.63</v>
      </c>
      <c r="M333">
        <f>VLOOKUP(A333,[1]dataset_2!B:H,4,FALSE)</f>
        <v>0</v>
      </c>
      <c r="N333">
        <f>VLOOKUP(A333,[1]dataset_2!B:H,5,FALSE)</f>
        <v>1</v>
      </c>
      <c r="O333">
        <f>VLOOKUP(A333,[1]dataset_2!B:H,6,FALSE)</f>
        <v>9</v>
      </c>
      <c r="P333">
        <f>VLOOKUP(A333,[1]dataset_2!B:H,7,FALSE)</f>
        <v>10</v>
      </c>
      <c r="Q333" t="str">
        <f t="shared" si="15"/>
        <v>Weekend</v>
      </c>
      <c r="R333" t="str">
        <f t="shared" si="16"/>
        <v>Morning</v>
      </c>
      <c r="S333" t="str">
        <f t="shared" si="17"/>
        <v>Low</v>
      </c>
    </row>
    <row r="334" spans="1:19">
      <c r="A334" s="14">
        <v>333</v>
      </c>
      <c r="B334" s="15">
        <v>40558</v>
      </c>
      <c r="C334" s="14">
        <v>1</v>
      </c>
      <c r="D334" s="14">
        <v>0</v>
      </c>
      <c r="E334" s="14">
        <v>1</v>
      </c>
      <c r="F334" s="14">
        <v>8</v>
      </c>
      <c r="G334" s="14" t="b">
        <v>0</v>
      </c>
      <c r="H334" s="14">
        <v>6</v>
      </c>
      <c r="I334" s="14">
        <v>1</v>
      </c>
      <c r="J334" s="14">
        <v>0.14000000000000001</v>
      </c>
      <c r="K334">
        <f>VLOOKUP(A334,[1]dataset_2!B:H,2,FALSE)</f>
        <v>0.1515</v>
      </c>
      <c r="L334">
        <f>VLOOKUP(A334,[1]dataset_2!B:H,3,FALSE)</f>
        <v>0.63</v>
      </c>
      <c r="M334">
        <f>VLOOKUP(A334,[1]dataset_2!B:H,4,FALSE)</f>
        <v>0.1343</v>
      </c>
      <c r="N334">
        <f>VLOOKUP(A334,[1]dataset_2!B:H,5,FALSE)</f>
        <v>1</v>
      </c>
      <c r="O334">
        <f>VLOOKUP(A334,[1]dataset_2!B:H,6,FALSE)</f>
        <v>22</v>
      </c>
      <c r="P334">
        <f>VLOOKUP(A334,[1]dataset_2!B:H,7,FALSE)</f>
        <v>23</v>
      </c>
      <c r="Q334" t="str">
        <f t="shared" si="15"/>
        <v>Weekend</v>
      </c>
      <c r="R334" t="str">
        <f t="shared" si="16"/>
        <v>Morning</v>
      </c>
      <c r="S334" t="str">
        <f t="shared" si="17"/>
        <v>Low</v>
      </c>
    </row>
    <row r="335" spans="1:19">
      <c r="A335" s="14">
        <v>334</v>
      </c>
      <c r="B335" s="15">
        <v>40558</v>
      </c>
      <c r="C335" s="14">
        <v>1</v>
      </c>
      <c r="D335" s="14">
        <v>0</v>
      </c>
      <c r="E335" s="14">
        <v>1</v>
      </c>
      <c r="F335" s="14">
        <v>9</v>
      </c>
      <c r="G335" s="14" t="b">
        <v>0</v>
      </c>
      <c r="H335" s="14">
        <v>6</v>
      </c>
      <c r="I335" s="14">
        <v>1</v>
      </c>
      <c r="J335" s="14">
        <v>0.16</v>
      </c>
      <c r="K335">
        <f>VLOOKUP(A335,[1]dataset_2!B:H,2,FALSE)</f>
        <v>0.18179999999999999</v>
      </c>
      <c r="L335">
        <f>VLOOKUP(A335,[1]dataset_2!B:H,3,FALSE)</f>
        <v>0.64</v>
      </c>
      <c r="M335">
        <f>VLOOKUP(A335,[1]dataset_2!B:H,4,FALSE)</f>
        <v>0.1343</v>
      </c>
      <c r="N335">
        <f>VLOOKUP(A335,[1]dataset_2!B:H,5,FALSE)</f>
        <v>2</v>
      </c>
      <c r="O335">
        <f>VLOOKUP(A335,[1]dataset_2!B:H,6,FALSE)</f>
        <v>31</v>
      </c>
      <c r="P335">
        <f>VLOOKUP(A335,[1]dataset_2!B:H,7,FALSE)</f>
        <v>33</v>
      </c>
      <c r="Q335" t="str">
        <f t="shared" si="15"/>
        <v>Weekend</v>
      </c>
      <c r="R335" t="str">
        <f t="shared" si="16"/>
        <v>Morning</v>
      </c>
      <c r="S335" t="str">
        <f t="shared" si="17"/>
        <v>Low</v>
      </c>
    </row>
    <row r="336" spans="1:19">
      <c r="A336" s="14">
        <v>335</v>
      </c>
      <c r="B336" s="15">
        <v>40558</v>
      </c>
      <c r="C336" s="14">
        <v>1</v>
      </c>
      <c r="D336" s="14">
        <v>0</v>
      </c>
      <c r="E336" s="14">
        <v>1</v>
      </c>
      <c r="F336" s="14">
        <v>10</v>
      </c>
      <c r="G336" s="14" t="b">
        <v>0</v>
      </c>
      <c r="H336" s="14">
        <v>6</v>
      </c>
      <c r="I336" s="14">
        <v>1</v>
      </c>
      <c r="J336" s="14">
        <v>0.18</v>
      </c>
      <c r="K336">
        <f>VLOOKUP(A336,[1]dataset_2!B:H,2,FALSE)</f>
        <v>0.19700000000000001</v>
      </c>
      <c r="L336">
        <f>VLOOKUP(A336,[1]dataset_2!B:H,3,FALSE)</f>
        <v>0.59</v>
      </c>
      <c r="M336">
        <f>VLOOKUP(A336,[1]dataset_2!B:H,4,FALSE)</f>
        <v>0.16420000000000001</v>
      </c>
      <c r="N336">
        <f>VLOOKUP(A336,[1]dataset_2!B:H,5,FALSE)</f>
        <v>2</v>
      </c>
      <c r="O336">
        <f>VLOOKUP(A336,[1]dataset_2!B:H,6,FALSE)</f>
        <v>57</v>
      </c>
      <c r="P336">
        <f>VLOOKUP(A336,[1]dataset_2!B:H,7,FALSE)</f>
        <v>59</v>
      </c>
      <c r="Q336" t="str">
        <f t="shared" si="15"/>
        <v>Weekend</v>
      </c>
      <c r="R336" t="str">
        <f t="shared" si="16"/>
        <v>Morning</v>
      </c>
      <c r="S336" t="str">
        <f t="shared" si="17"/>
        <v>Low</v>
      </c>
    </row>
    <row r="337" spans="1:19">
      <c r="A337" s="14">
        <v>336</v>
      </c>
      <c r="B337" s="15">
        <v>40558</v>
      </c>
      <c r="C337" s="14">
        <v>1</v>
      </c>
      <c r="D337" s="14">
        <v>0</v>
      </c>
      <c r="E337" s="14">
        <v>1</v>
      </c>
      <c r="F337" s="14">
        <v>11</v>
      </c>
      <c r="G337" s="14" t="b">
        <v>0</v>
      </c>
      <c r="H337" s="14">
        <v>6</v>
      </c>
      <c r="I337" s="14">
        <v>1</v>
      </c>
      <c r="J337" s="14">
        <v>0.2</v>
      </c>
      <c r="K337">
        <f>VLOOKUP(A337,[1]dataset_2!B:H,2,FALSE)</f>
        <v>0.19700000000000001</v>
      </c>
      <c r="L337">
        <f>VLOOKUP(A337,[1]dataset_2!B:H,3,FALSE)</f>
        <v>0.55000000000000004</v>
      </c>
      <c r="M337">
        <f>VLOOKUP(A337,[1]dataset_2!B:H,4,FALSE)</f>
        <v>0.22389999999999999</v>
      </c>
      <c r="N337">
        <f>VLOOKUP(A337,[1]dataset_2!B:H,5,FALSE)</f>
        <v>18</v>
      </c>
      <c r="O337">
        <f>VLOOKUP(A337,[1]dataset_2!B:H,6,FALSE)</f>
        <v>54</v>
      </c>
      <c r="P337">
        <f>VLOOKUP(A337,[1]dataset_2!B:H,7,FALSE)</f>
        <v>72</v>
      </c>
      <c r="Q337" t="str">
        <f t="shared" si="15"/>
        <v>Weekend</v>
      </c>
      <c r="R337" t="str">
        <f t="shared" si="16"/>
        <v>Morning</v>
      </c>
      <c r="S337" t="str">
        <f t="shared" si="17"/>
        <v>Low</v>
      </c>
    </row>
    <row r="338" spans="1:19">
      <c r="A338" s="14">
        <v>337</v>
      </c>
      <c r="B338" s="15">
        <v>40558</v>
      </c>
      <c r="C338" s="14">
        <v>1</v>
      </c>
      <c r="D338" s="14">
        <v>0</v>
      </c>
      <c r="E338" s="14">
        <v>1</v>
      </c>
      <c r="F338" s="14">
        <v>12</v>
      </c>
      <c r="G338" s="14" t="b">
        <v>0</v>
      </c>
      <c r="H338" s="14">
        <v>6</v>
      </c>
      <c r="I338" s="14">
        <v>1</v>
      </c>
      <c r="J338" s="14">
        <v>0.24</v>
      </c>
      <c r="K338">
        <f>VLOOKUP(A338,[1]dataset_2!B:H,2,FALSE)</f>
        <v>0.2273</v>
      </c>
      <c r="L338">
        <f>VLOOKUP(A338,[1]dataset_2!B:H,3,FALSE)</f>
        <v>0.48</v>
      </c>
      <c r="M338">
        <f>VLOOKUP(A338,[1]dataset_2!B:H,4,FALSE)</f>
        <v>0.22389999999999999</v>
      </c>
      <c r="N338">
        <f>VLOOKUP(A338,[1]dataset_2!B:H,5,FALSE)</f>
        <v>15</v>
      </c>
      <c r="O338">
        <f>VLOOKUP(A338,[1]dataset_2!B:H,6,FALSE)</f>
        <v>74</v>
      </c>
      <c r="P338">
        <f>VLOOKUP(A338,[1]dataset_2!B:H,7,FALSE)</f>
        <v>89</v>
      </c>
      <c r="Q338" t="str">
        <f t="shared" si="15"/>
        <v>Weekend</v>
      </c>
      <c r="R338" t="str">
        <f t="shared" si="16"/>
        <v>Afternoon</v>
      </c>
      <c r="S338" t="str">
        <f t="shared" si="17"/>
        <v>Low</v>
      </c>
    </row>
    <row r="339" spans="1:19">
      <c r="A339" s="14">
        <v>338</v>
      </c>
      <c r="B339" s="15">
        <v>40558</v>
      </c>
      <c r="C339" s="14">
        <v>1</v>
      </c>
      <c r="D339" s="14">
        <v>0</v>
      </c>
      <c r="E339" s="14">
        <v>1</v>
      </c>
      <c r="F339" s="14">
        <v>13</v>
      </c>
      <c r="G339" s="14" t="b">
        <v>0</v>
      </c>
      <c r="H339" s="14">
        <v>6</v>
      </c>
      <c r="I339" s="14">
        <v>1</v>
      </c>
      <c r="J339" s="14">
        <v>0.28000000000000003</v>
      </c>
      <c r="K339">
        <f>VLOOKUP(A339,[1]dataset_2!B:H,2,FALSE)</f>
        <v>0.2576</v>
      </c>
      <c r="L339">
        <f>VLOOKUP(A339,[1]dataset_2!B:H,3,FALSE)</f>
        <v>0.38</v>
      </c>
      <c r="M339">
        <f>VLOOKUP(A339,[1]dataset_2!B:H,4,FALSE)</f>
        <v>0.29849999999999999</v>
      </c>
      <c r="N339">
        <f>VLOOKUP(A339,[1]dataset_2!B:H,5,FALSE)</f>
        <v>21</v>
      </c>
      <c r="O339">
        <f>VLOOKUP(A339,[1]dataset_2!B:H,6,FALSE)</f>
        <v>80</v>
      </c>
      <c r="P339">
        <f>VLOOKUP(A339,[1]dataset_2!B:H,7,FALSE)</f>
        <v>101</v>
      </c>
      <c r="Q339" t="str">
        <f t="shared" si="15"/>
        <v>Weekend</v>
      </c>
      <c r="R339" t="str">
        <f t="shared" si="16"/>
        <v>Afternoon</v>
      </c>
      <c r="S339" t="str">
        <f t="shared" si="17"/>
        <v>High</v>
      </c>
    </row>
    <row r="340" spans="1:19">
      <c r="A340" s="14">
        <v>339</v>
      </c>
      <c r="B340" s="15">
        <v>40558</v>
      </c>
      <c r="C340" s="14">
        <v>1</v>
      </c>
      <c r="D340" s="14">
        <v>0</v>
      </c>
      <c r="E340" s="14">
        <v>1</v>
      </c>
      <c r="F340" s="14">
        <v>14</v>
      </c>
      <c r="G340" s="14" t="b">
        <v>0</v>
      </c>
      <c r="H340" s="14">
        <v>6</v>
      </c>
      <c r="I340" s="14">
        <v>1</v>
      </c>
      <c r="J340" s="14">
        <v>0.3</v>
      </c>
      <c r="K340">
        <f>VLOOKUP(A340,[1]dataset_2!B:H,2,FALSE)</f>
        <v>0.28789999999999999</v>
      </c>
      <c r="L340">
        <f>VLOOKUP(A340,[1]dataset_2!B:H,3,FALSE)</f>
        <v>0.39</v>
      </c>
      <c r="M340">
        <f>VLOOKUP(A340,[1]dataset_2!B:H,4,FALSE)</f>
        <v>0.28360000000000002</v>
      </c>
      <c r="N340">
        <f>VLOOKUP(A340,[1]dataset_2!B:H,5,FALSE)</f>
        <v>26</v>
      </c>
      <c r="O340">
        <f>VLOOKUP(A340,[1]dataset_2!B:H,6,FALSE)</f>
        <v>92</v>
      </c>
      <c r="P340">
        <f>VLOOKUP(A340,[1]dataset_2!B:H,7,FALSE)</f>
        <v>118</v>
      </c>
      <c r="Q340" t="str">
        <f t="shared" si="15"/>
        <v>Weekend</v>
      </c>
      <c r="R340" t="str">
        <f t="shared" si="16"/>
        <v>Afternoon</v>
      </c>
      <c r="S340" t="str">
        <f t="shared" si="17"/>
        <v>High</v>
      </c>
    </row>
    <row r="341" spans="1:19">
      <c r="A341" s="14">
        <v>340</v>
      </c>
      <c r="B341" s="15">
        <v>40558</v>
      </c>
      <c r="C341" s="14">
        <v>1</v>
      </c>
      <c r="D341" s="14">
        <v>0</v>
      </c>
      <c r="E341" s="14">
        <v>1</v>
      </c>
      <c r="F341" s="14">
        <v>15</v>
      </c>
      <c r="G341" s="14" t="b">
        <v>0</v>
      </c>
      <c r="H341" s="14">
        <v>6</v>
      </c>
      <c r="I341" s="14">
        <v>2</v>
      </c>
      <c r="J341" s="14">
        <v>0.32</v>
      </c>
      <c r="K341">
        <f>VLOOKUP(A341,[1]dataset_2!B:H,2,FALSE)</f>
        <v>0.31819999999999998</v>
      </c>
      <c r="L341">
        <f>VLOOKUP(A341,[1]dataset_2!B:H,3,FALSE)</f>
        <v>0.36</v>
      </c>
      <c r="M341">
        <f>VLOOKUP(A341,[1]dataset_2!B:H,4,FALSE)</f>
        <v>0.19400000000000001</v>
      </c>
      <c r="N341">
        <f>VLOOKUP(A341,[1]dataset_2!B:H,5,FALSE)</f>
        <v>21</v>
      </c>
      <c r="O341">
        <f>VLOOKUP(A341,[1]dataset_2!B:H,6,FALSE)</f>
        <v>108</v>
      </c>
      <c r="P341">
        <f>VLOOKUP(A341,[1]dataset_2!B:H,7,FALSE)</f>
        <v>129</v>
      </c>
      <c r="Q341" t="str">
        <f t="shared" si="15"/>
        <v>Weekend</v>
      </c>
      <c r="R341" t="str">
        <f t="shared" si="16"/>
        <v>Afternoon</v>
      </c>
      <c r="S341" t="str">
        <f t="shared" si="17"/>
        <v>High</v>
      </c>
    </row>
    <row r="342" spans="1:19">
      <c r="A342" s="14">
        <v>341</v>
      </c>
      <c r="B342" s="15">
        <v>40558</v>
      </c>
      <c r="C342" s="14">
        <v>1</v>
      </c>
      <c r="D342" s="14">
        <v>0</v>
      </c>
      <c r="E342" s="14">
        <v>1</v>
      </c>
      <c r="F342" s="14">
        <v>16</v>
      </c>
      <c r="G342" s="14" t="b">
        <v>0</v>
      </c>
      <c r="H342" s="14">
        <v>6</v>
      </c>
      <c r="I342" s="14">
        <v>2</v>
      </c>
      <c r="J342" s="14">
        <v>0.34</v>
      </c>
      <c r="K342">
        <f>VLOOKUP(A342,[1]dataset_2!B:H,2,FALSE)</f>
        <v>0.33329999999999999</v>
      </c>
      <c r="L342">
        <f>VLOOKUP(A342,[1]dataset_2!B:H,3,FALSE)</f>
        <v>0.34</v>
      </c>
      <c r="M342">
        <f>VLOOKUP(A342,[1]dataset_2!B:H,4,FALSE)</f>
        <v>0.19400000000000001</v>
      </c>
      <c r="N342">
        <f>VLOOKUP(A342,[1]dataset_2!B:H,5,FALSE)</f>
        <v>33</v>
      </c>
      <c r="O342">
        <f>VLOOKUP(A342,[1]dataset_2!B:H,6,FALSE)</f>
        <v>95</v>
      </c>
      <c r="P342">
        <f>VLOOKUP(A342,[1]dataset_2!B:H,7,FALSE)</f>
        <v>128</v>
      </c>
      <c r="Q342" t="str">
        <f t="shared" si="15"/>
        <v>Weekend</v>
      </c>
      <c r="R342" t="str">
        <f t="shared" si="16"/>
        <v>Afternoon</v>
      </c>
      <c r="S342" t="str">
        <f t="shared" si="17"/>
        <v>High</v>
      </c>
    </row>
    <row r="343" spans="1:19">
      <c r="A343" s="14">
        <v>342</v>
      </c>
      <c r="B343" s="15">
        <v>40558</v>
      </c>
      <c r="C343" s="14">
        <v>1</v>
      </c>
      <c r="D343" s="14">
        <v>0</v>
      </c>
      <c r="E343" s="14">
        <v>1</v>
      </c>
      <c r="F343" s="14">
        <v>17</v>
      </c>
      <c r="G343" s="14" t="b">
        <v>0</v>
      </c>
      <c r="H343" s="14">
        <v>6</v>
      </c>
      <c r="I343" s="14">
        <v>2</v>
      </c>
      <c r="J343" s="14">
        <v>0.32</v>
      </c>
      <c r="K343">
        <f>VLOOKUP(A343,[1]dataset_2!B:H,2,FALSE)</f>
        <v>0.30299999999999999</v>
      </c>
      <c r="L343">
        <f>VLOOKUP(A343,[1]dataset_2!B:H,3,FALSE)</f>
        <v>0.36</v>
      </c>
      <c r="M343">
        <f>VLOOKUP(A343,[1]dataset_2!B:H,4,FALSE)</f>
        <v>0.28360000000000002</v>
      </c>
      <c r="N343">
        <f>VLOOKUP(A343,[1]dataset_2!B:H,5,FALSE)</f>
        <v>29</v>
      </c>
      <c r="O343">
        <f>VLOOKUP(A343,[1]dataset_2!B:H,6,FALSE)</f>
        <v>54</v>
      </c>
      <c r="P343">
        <f>VLOOKUP(A343,[1]dataset_2!B:H,7,FALSE)</f>
        <v>83</v>
      </c>
      <c r="Q343" t="str">
        <f t="shared" si="15"/>
        <v>Weekend</v>
      </c>
      <c r="R343" t="str">
        <f t="shared" si="16"/>
        <v>Afternoon</v>
      </c>
      <c r="S343" t="str">
        <f t="shared" si="17"/>
        <v>Low</v>
      </c>
    </row>
    <row r="344" spans="1:19">
      <c r="A344" s="14">
        <v>343</v>
      </c>
      <c r="B344" s="15">
        <v>40558</v>
      </c>
      <c r="C344" s="14">
        <v>1</v>
      </c>
      <c r="D344" s="14">
        <v>0</v>
      </c>
      <c r="E344" s="14">
        <v>1</v>
      </c>
      <c r="F344" s="14">
        <v>18</v>
      </c>
      <c r="G344" s="14" t="b">
        <v>0</v>
      </c>
      <c r="H344" s="14">
        <v>6</v>
      </c>
      <c r="I344" s="14">
        <v>2</v>
      </c>
      <c r="J344" s="14">
        <v>0.3</v>
      </c>
      <c r="K344">
        <f>VLOOKUP(A344,[1]dataset_2!B:H,2,FALSE)</f>
        <v>0.28789999999999999</v>
      </c>
      <c r="L344">
        <f>VLOOKUP(A344,[1]dataset_2!B:H,3,FALSE)</f>
        <v>0.45</v>
      </c>
      <c r="M344">
        <f>VLOOKUP(A344,[1]dataset_2!B:H,4,FALSE)</f>
        <v>0.25369999999999998</v>
      </c>
      <c r="N344">
        <f>VLOOKUP(A344,[1]dataset_2!B:H,5,FALSE)</f>
        <v>15</v>
      </c>
      <c r="O344">
        <f>VLOOKUP(A344,[1]dataset_2!B:H,6,FALSE)</f>
        <v>69</v>
      </c>
      <c r="P344">
        <f>VLOOKUP(A344,[1]dataset_2!B:H,7,FALSE)</f>
        <v>84</v>
      </c>
      <c r="Q344" t="str">
        <f t="shared" si="15"/>
        <v>Weekend</v>
      </c>
      <c r="R344" t="str">
        <f t="shared" si="16"/>
        <v>Evening</v>
      </c>
      <c r="S344" t="str">
        <f t="shared" si="17"/>
        <v>Low</v>
      </c>
    </row>
    <row r="345" spans="1:19">
      <c r="A345" s="14">
        <v>344</v>
      </c>
      <c r="B345" s="15">
        <v>40558</v>
      </c>
      <c r="C345" s="14">
        <v>1</v>
      </c>
      <c r="D345" s="14">
        <v>0</v>
      </c>
      <c r="E345" s="14">
        <v>1</v>
      </c>
      <c r="F345" s="14">
        <v>19</v>
      </c>
      <c r="G345" s="14" t="b">
        <v>0</v>
      </c>
      <c r="H345" s="14">
        <v>6</v>
      </c>
      <c r="I345" s="14">
        <v>2</v>
      </c>
      <c r="J345" s="14">
        <v>0.32</v>
      </c>
      <c r="K345">
        <f>VLOOKUP(A345,[1]dataset_2!B:H,2,FALSE)</f>
        <v>0.30299999999999999</v>
      </c>
      <c r="L345">
        <f>VLOOKUP(A345,[1]dataset_2!B:H,3,FALSE)</f>
        <v>0.39</v>
      </c>
      <c r="M345">
        <f>VLOOKUP(A345,[1]dataset_2!B:H,4,FALSE)</f>
        <v>0.25369999999999998</v>
      </c>
      <c r="N345">
        <f>VLOOKUP(A345,[1]dataset_2!B:H,5,FALSE)</f>
        <v>14</v>
      </c>
      <c r="O345">
        <f>VLOOKUP(A345,[1]dataset_2!B:H,6,FALSE)</f>
        <v>60</v>
      </c>
      <c r="P345">
        <f>VLOOKUP(A345,[1]dataset_2!B:H,7,FALSE)</f>
        <v>74</v>
      </c>
      <c r="Q345" t="str">
        <f t="shared" si="15"/>
        <v>Weekend</v>
      </c>
      <c r="R345" t="str">
        <f t="shared" si="16"/>
        <v>Evening</v>
      </c>
      <c r="S345" t="str">
        <f t="shared" si="17"/>
        <v>Low</v>
      </c>
    </row>
    <row r="346" spans="1:19">
      <c r="A346" s="14">
        <v>345</v>
      </c>
      <c r="B346" s="15">
        <v>40558</v>
      </c>
      <c r="C346" s="14">
        <v>1</v>
      </c>
      <c r="D346" s="14">
        <v>0</v>
      </c>
      <c r="E346" s="14">
        <v>1</v>
      </c>
      <c r="F346" s="14">
        <v>20</v>
      </c>
      <c r="G346" s="14" t="b">
        <v>0</v>
      </c>
      <c r="H346" s="14">
        <v>6</v>
      </c>
      <c r="I346" s="14">
        <v>2</v>
      </c>
      <c r="J346" s="14">
        <v>0.32</v>
      </c>
      <c r="K346">
        <f>VLOOKUP(A346,[1]dataset_2!B:H,2,FALSE)</f>
        <v>0.30299999999999999</v>
      </c>
      <c r="L346">
        <f>VLOOKUP(A346,[1]dataset_2!B:H,3,FALSE)</f>
        <v>0.39</v>
      </c>
      <c r="M346">
        <f>VLOOKUP(A346,[1]dataset_2!B:H,4,FALSE)</f>
        <v>0.25369999999999998</v>
      </c>
      <c r="N346">
        <f>VLOOKUP(A346,[1]dataset_2!B:H,5,FALSE)</f>
        <v>6</v>
      </c>
      <c r="O346">
        <f>VLOOKUP(A346,[1]dataset_2!B:H,6,FALSE)</f>
        <v>35</v>
      </c>
      <c r="P346">
        <f>VLOOKUP(A346,[1]dataset_2!B:H,7,FALSE)</f>
        <v>41</v>
      </c>
      <c r="Q346" t="str">
        <f t="shared" si="15"/>
        <v>Weekend</v>
      </c>
      <c r="R346" t="str">
        <f t="shared" si="16"/>
        <v>Evening</v>
      </c>
      <c r="S346" t="str">
        <f t="shared" si="17"/>
        <v>Low</v>
      </c>
    </row>
    <row r="347" spans="1:19">
      <c r="A347" s="14">
        <v>346</v>
      </c>
      <c r="B347" s="15">
        <v>40558</v>
      </c>
      <c r="C347" s="14">
        <v>1</v>
      </c>
      <c r="D347" s="14">
        <v>0</v>
      </c>
      <c r="E347" s="14">
        <v>1</v>
      </c>
      <c r="F347" s="14">
        <v>21</v>
      </c>
      <c r="G347" s="14" t="b">
        <v>0</v>
      </c>
      <c r="H347" s="14">
        <v>6</v>
      </c>
      <c r="I347" s="14">
        <v>2</v>
      </c>
      <c r="J347" s="14">
        <v>0.32</v>
      </c>
      <c r="K347">
        <f>VLOOKUP(A347,[1]dataset_2!B:H,2,FALSE)</f>
        <v>0.30299999999999999</v>
      </c>
      <c r="L347">
        <f>VLOOKUP(A347,[1]dataset_2!B:H,3,FALSE)</f>
        <v>0.39</v>
      </c>
      <c r="M347">
        <f>VLOOKUP(A347,[1]dataset_2!B:H,4,FALSE)</f>
        <v>0.22389999999999999</v>
      </c>
      <c r="N347">
        <f>VLOOKUP(A347,[1]dataset_2!B:H,5,FALSE)</f>
        <v>6</v>
      </c>
      <c r="O347">
        <f>VLOOKUP(A347,[1]dataset_2!B:H,6,FALSE)</f>
        <v>51</v>
      </c>
      <c r="P347">
        <f>VLOOKUP(A347,[1]dataset_2!B:H,7,FALSE)</f>
        <v>57</v>
      </c>
      <c r="Q347" t="str">
        <f t="shared" si="15"/>
        <v>Weekend</v>
      </c>
      <c r="R347" t="str">
        <f t="shared" si="16"/>
        <v>Evening</v>
      </c>
      <c r="S347" t="str">
        <f t="shared" si="17"/>
        <v>Low</v>
      </c>
    </row>
    <row r="348" spans="1:19">
      <c r="A348" s="14">
        <v>347</v>
      </c>
      <c r="B348" s="15">
        <v>40558</v>
      </c>
      <c r="C348" s="14">
        <v>1</v>
      </c>
      <c r="D348" s="14">
        <v>0</v>
      </c>
      <c r="E348" s="14">
        <v>1</v>
      </c>
      <c r="F348" s="14">
        <v>22</v>
      </c>
      <c r="G348" s="14" t="b">
        <v>0</v>
      </c>
      <c r="H348" s="14">
        <v>6</v>
      </c>
      <c r="I348" s="14">
        <v>2</v>
      </c>
      <c r="J348" s="14">
        <v>0.3</v>
      </c>
      <c r="K348">
        <f>VLOOKUP(A348,[1]dataset_2!B:H,2,FALSE)</f>
        <v>0.31819999999999998</v>
      </c>
      <c r="L348">
        <f>VLOOKUP(A348,[1]dataset_2!B:H,3,FALSE)</f>
        <v>0.42</v>
      </c>
      <c r="M348">
        <f>VLOOKUP(A348,[1]dataset_2!B:H,4,FALSE)</f>
        <v>0.1045</v>
      </c>
      <c r="N348">
        <f>VLOOKUP(A348,[1]dataset_2!B:H,5,FALSE)</f>
        <v>0</v>
      </c>
      <c r="O348">
        <f>VLOOKUP(A348,[1]dataset_2!B:H,6,FALSE)</f>
        <v>26</v>
      </c>
      <c r="P348">
        <f>VLOOKUP(A348,[1]dataset_2!B:H,7,FALSE)</f>
        <v>26</v>
      </c>
      <c r="Q348" t="str">
        <f t="shared" si="15"/>
        <v>Weekend</v>
      </c>
      <c r="R348" t="str">
        <f t="shared" si="16"/>
        <v>Evening</v>
      </c>
      <c r="S348" t="str">
        <f t="shared" si="17"/>
        <v>Low</v>
      </c>
    </row>
    <row r="349" spans="1:19">
      <c r="A349" s="14">
        <v>348</v>
      </c>
      <c r="B349" s="15">
        <v>40558</v>
      </c>
      <c r="C349" s="14">
        <v>1</v>
      </c>
      <c r="D349" s="14">
        <v>0</v>
      </c>
      <c r="E349" s="14">
        <v>1</v>
      </c>
      <c r="F349" s="14">
        <v>23</v>
      </c>
      <c r="G349" s="14" t="b">
        <v>0</v>
      </c>
      <c r="H349" s="14">
        <v>6</v>
      </c>
      <c r="I349" s="14">
        <v>1</v>
      </c>
      <c r="J349" s="14">
        <v>0.3</v>
      </c>
      <c r="K349">
        <f>VLOOKUP(A349,[1]dataset_2!B:H,2,FALSE)</f>
        <v>0.28789999999999999</v>
      </c>
      <c r="L349">
        <f>VLOOKUP(A349,[1]dataset_2!B:H,3,FALSE)</f>
        <v>0.45</v>
      </c>
      <c r="M349">
        <f>VLOOKUP(A349,[1]dataset_2!B:H,4,FALSE)</f>
        <v>0.28360000000000002</v>
      </c>
      <c r="N349">
        <f>VLOOKUP(A349,[1]dataset_2!B:H,5,FALSE)</f>
        <v>5</v>
      </c>
      <c r="O349">
        <f>VLOOKUP(A349,[1]dataset_2!B:H,6,FALSE)</f>
        <v>39</v>
      </c>
      <c r="P349">
        <f>VLOOKUP(A349,[1]dataset_2!B:H,7,FALSE)</f>
        <v>44</v>
      </c>
      <c r="Q349" t="str">
        <f t="shared" si="15"/>
        <v>Weekend</v>
      </c>
      <c r="R349" t="str">
        <f t="shared" si="16"/>
        <v>Evening</v>
      </c>
      <c r="S349" t="str">
        <f t="shared" si="17"/>
        <v>Low</v>
      </c>
    </row>
    <row r="350" spans="1:19">
      <c r="A350" s="14">
        <v>349</v>
      </c>
      <c r="B350" s="15">
        <v>40559</v>
      </c>
      <c r="C350" s="14">
        <v>1</v>
      </c>
      <c r="D350" s="14">
        <v>0</v>
      </c>
      <c r="E350" s="14">
        <v>1</v>
      </c>
      <c r="F350" s="14">
        <v>0</v>
      </c>
      <c r="G350" s="14" t="b">
        <v>0</v>
      </c>
      <c r="H350" s="14">
        <v>0</v>
      </c>
      <c r="I350" s="14">
        <v>1</v>
      </c>
      <c r="J350" s="14">
        <v>0.26</v>
      </c>
      <c r="K350">
        <f>VLOOKUP(A350,[1]dataset_2!B:H,2,FALSE)</f>
        <v>0.30299999999999999</v>
      </c>
      <c r="L350">
        <f>VLOOKUP(A350,[1]dataset_2!B:H,3,FALSE)</f>
        <v>0.56000000000000005</v>
      </c>
      <c r="M350">
        <f>VLOOKUP(A350,[1]dataset_2!B:H,4,FALSE)</f>
        <v>0</v>
      </c>
      <c r="N350">
        <f>VLOOKUP(A350,[1]dataset_2!B:H,5,FALSE)</f>
        <v>6</v>
      </c>
      <c r="O350">
        <f>VLOOKUP(A350,[1]dataset_2!B:H,6,FALSE)</f>
        <v>33</v>
      </c>
      <c r="P350">
        <f>VLOOKUP(A350,[1]dataset_2!B:H,7,FALSE)</f>
        <v>39</v>
      </c>
      <c r="Q350" t="str">
        <f t="shared" si="15"/>
        <v>Weekend</v>
      </c>
      <c r="R350" t="str">
        <f t="shared" si="16"/>
        <v>Morning</v>
      </c>
      <c r="S350" t="str">
        <f t="shared" si="17"/>
        <v>Low</v>
      </c>
    </row>
    <row r="351" spans="1:19">
      <c r="A351" s="14">
        <v>350</v>
      </c>
      <c r="B351" s="15">
        <v>40559</v>
      </c>
      <c r="C351" s="14">
        <v>1</v>
      </c>
      <c r="D351" s="14">
        <v>0</v>
      </c>
      <c r="E351" s="14">
        <v>1</v>
      </c>
      <c r="F351" s="14">
        <v>1</v>
      </c>
      <c r="G351" s="14" t="b">
        <v>0</v>
      </c>
      <c r="H351" s="14">
        <v>0</v>
      </c>
      <c r="I351" s="14">
        <v>1</v>
      </c>
      <c r="J351" s="14">
        <v>0.26</v>
      </c>
      <c r="K351">
        <f>VLOOKUP(A351,[1]dataset_2!B:H,2,FALSE)</f>
        <v>0.2727</v>
      </c>
      <c r="L351">
        <f>VLOOKUP(A351,[1]dataset_2!B:H,3,FALSE)</f>
        <v>0.56000000000000005</v>
      </c>
      <c r="M351">
        <f>VLOOKUP(A351,[1]dataset_2!B:H,4,FALSE)</f>
        <v>0.1343</v>
      </c>
      <c r="N351">
        <f>VLOOKUP(A351,[1]dataset_2!B:H,5,FALSE)</f>
        <v>4</v>
      </c>
      <c r="O351">
        <f>VLOOKUP(A351,[1]dataset_2!B:H,6,FALSE)</f>
        <v>19</v>
      </c>
      <c r="P351">
        <f>VLOOKUP(A351,[1]dataset_2!B:H,7,FALSE)</f>
        <v>23</v>
      </c>
      <c r="Q351" t="str">
        <f t="shared" si="15"/>
        <v>Weekend</v>
      </c>
      <c r="R351" t="str">
        <f t="shared" si="16"/>
        <v>Morning</v>
      </c>
      <c r="S351" t="str">
        <f t="shared" si="17"/>
        <v>Low</v>
      </c>
    </row>
    <row r="352" spans="1:19">
      <c r="A352" s="14">
        <v>351</v>
      </c>
      <c r="B352" s="15">
        <v>40559</v>
      </c>
      <c r="C352" s="14">
        <v>1</v>
      </c>
      <c r="D352" s="14">
        <v>0</v>
      </c>
      <c r="E352" s="14">
        <v>1</v>
      </c>
      <c r="F352" s="14">
        <v>2</v>
      </c>
      <c r="G352" s="14" t="b">
        <v>0</v>
      </c>
      <c r="H352" s="14">
        <v>0</v>
      </c>
      <c r="I352" s="14">
        <v>1</v>
      </c>
      <c r="J352" s="14">
        <v>0.26</v>
      </c>
      <c r="K352">
        <f>VLOOKUP(A352,[1]dataset_2!B:H,2,FALSE)</f>
        <v>0.28789999999999999</v>
      </c>
      <c r="L352">
        <f>VLOOKUP(A352,[1]dataset_2!B:H,3,FALSE)</f>
        <v>0.56000000000000005</v>
      </c>
      <c r="M352">
        <f>VLOOKUP(A352,[1]dataset_2!B:H,4,FALSE)</f>
        <v>8.9599999999999999E-2</v>
      </c>
      <c r="N352">
        <f>VLOOKUP(A352,[1]dataset_2!B:H,5,FALSE)</f>
        <v>3</v>
      </c>
      <c r="O352">
        <f>VLOOKUP(A352,[1]dataset_2!B:H,6,FALSE)</f>
        <v>13</v>
      </c>
      <c r="P352">
        <f>VLOOKUP(A352,[1]dataset_2!B:H,7,FALSE)</f>
        <v>16</v>
      </c>
      <c r="Q352" t="str">
        <f t="shared" si="15"/>
        <v>Weekend</v>
      </c>
      <c r="R352" t="str">
        <f t="shared" si="16"/>
        <v>Morning</v>
      </c>
      <c r="S352" t="str">
        <f t="shared" si="17"/>
        <v>Low</v>
      </c>
    </row>
    <row r="353" spans="1:19">
      <c r="A353" s="14">
        <v>352</v>
      </c>
      <c r="B353" s="15">
        <v>40559</v>
      </c>
      <c r="C353" s="14">
        <v>1</v>
      </c>
      <c r="D353" s="14">
        <v>0</v>
      </c>
      <c r="E353" s="14">
        <v>1</v>
      </c>
      <c r="F353" s="14">
        <v>3</v>
      </c>
      <c r="G353" s="14" t="b">
        <v>0</v>
      </c>
      <c r="H353" s="14">
        <v>0</v>
      </c>
      <c r="I353" s="14">
        <v>1</v>
      </c>
      <c r="J353" s="14">
        <v>0.22</v>
      </c>
      <c r="K353">
        <f>VLOOKUP(A353,[1]dataset_2!B:H,2,FALSE)</f>
        <v>0.2727</v>
      </c>
      <c r="L353">
        <f>VLOOKUP(A353,[1]dataset_2!B:H,3,FALSE)</f>
        <v>0.69</v>
      </c>
      <c r="M353">
        <f>VLOOKUP(A353,[1]dataset_2!B:H,4,FALSE)</f>
        <v>0</v>
      </c>
      <c r="N353">
        <f>VLOOKUP(A353,[1]dataset_2!B:H,5,FALSE)</f>
        <v>9</v>
      </c>
      <c r="O353">
        <f>VLOOKUP(A353,[1]dataset_2!B:H,6,FALSE)</f>
        <v>6</v>
      </c>
      <c r="P353">
        <f>VLOOKUP(A353,[1]dataset_2!B:H,7,FALSE)</f>
        <v>15</v>
      </c>
      <c r="Q353" t="str">
        <f t="shared" si="15"/>
        <v>Weekend</v>
      </c>
      <c r="R353" t="str">
        <f t="shared" si="16"/>
        <v>Morning</v>
      </c>
      <c r="S353" t="str">
        <f t="shared" si="17"/>
        <v>Low</v>
      </c>
    </row>
    <row r="354" spans="1:19">
      <c r="A354" s="14">
        <v>353</v>
      </c>
      <c r="B354" s="15">
        <v>40559</v>
      </c>
      <c r="C354" s="14">
        <v>1</v>
      </c>
      <c r="D354" s="14">
        <v>0</v>
      </c>
      <c r="E354" s="14">
        <v>1</v>
      </c>
      <c r="F354" s="14">
        <v>4</v>
      </c>
      <c r="G354" s="14" t="b">
        <v>0</v>
      </c>
      <c r="H354" s="14">
        <v>0</v>
      </c>
      <c r="I354" s="14">
        <v>1</v>
      </c>
      <c r="J354" s="14">
        <v>0.26</v>
      </c>
      <c r="K354">
        <f>VLOOKUP(A354,[1]dataset_2!B:H,2,FALSE)</f>
        <v>0.2576</v>
      </c>
      <c r="L354">
        <f>VLOOKUP(A354,[1]dataset_2!B:H,3,FALSE)</f>
        <v>0.56000000000000005</v>
      </c>
      <c r="M354">
        <f>VLOOKUP(A354,[1]dataset_2!B:H,4,FALSE)</f>
        <v>0.16420000000000001</v>
      </c>
      <c r="N354">
        <f>VLOOKUP(A354,[1]dataset_2!B:H,5,FALSE)</f>
        <v>0</v>
      </c>
      <c r="O354">
        <f>VLOOKUP(A354,[1]dataset_2!B:H,6,FALSE)</f>
        <v>1</v>
      </c>
      <c r="P354">
        <f>VLOOKUP(A354,[1]dataset_2!B:H,7,FALSE)</f>
        <v>1</v>
      </c>
      <c r="Q354" t="str">
        <f t="shared" si="15"/>
        <v>Weekend</v>
      </c>
      <c r="R354" t="str">
        <f t="shared" si="16"/>
        <v>Morning</v>
      </c>
      <c r="S354" t="str">
        <f t="shared" si="17"/>
        <v>Low</v>
      </c>
    </row>
    <row r="355" spans="1:19">
      <c r="A355" s="14">
        <v>354</v>
      </c>
      <c r="B355" s="15">
        <v>40559</v>
      </c>
      <c r="C355" s="14">
        <v>1</v>
      </c>
      <c r="D355" s="14">
        <v>0</v>
      </c>
      <c r="E355" s="14">
        <v>1</v>
      </c>
      <c r="F355" s="14">
        <v>5</v>
      </c>
      <c r="G355" s="14" t="b">
        <v>0</v>
      </c>
      <c r="H355" s="14">
        <v>0</v>
      </c>
      <c r="I355" s="14">
        <v>2</v>
      </c>
      <c r="J355" s="14">
        <v>0.26</v>
      </c>
      <c r="K355">
        <f>VLOOKUP(A355,[1]dataset_2!B:H,2,FALSE)</f>
        <v>0.2576</v>
      </c>
      <c r="L355">
        <f>VLOOKUP(A355,[1]dataset_2!B:H,3,FALSE)</f>
        <v>0.56000000000000005</v>
      </c>
      <c r="M355">
        <f>VLOOKUP(A355,[1]dataset_2!B:H,4,FALSE)</f>
        <v>0.16420000000000001</v>
      </c>
      <c r="N355">
        <f>VLOOKUP(A355,[1]dataset_2!B:H,5,FALSE)</f>
        <v>1</v>
      </c>
      <c r="O355">
        <f>VLOOKUP(A355,[1]dataset_2!B:H,6,FALSE)</f>
        <v>1</v>
      </c>
      <c r="P355">
        <f>VLOOKUP(A355,[1]dataset_2!B:H,7,FALSE)</f>
        <v>2</v>
      </c>
      <c r="Q355" t="str">
        <f t="shared" si="15"/>
        <v>Weekend</v>
      </c>
      <c r="R355" t="str">
        <f t="shared" si="16"/>
        <v>Morning</v>
      </c>
      <c r="S355" t="str">
        <f t="shared" si="17"/>
        <v>Low</v>
      </c>
    </row>
    <row r="356" spans="1:19">
      <c r="A356" s="14">
        <v>355</v>
      </c>
      <c r="B356" s="15">
        <v>40559</v>
      </c>
      <c r="C356" s="14">
        <v>1</v>
      </c>
      <c r="D356" s="14">
        <v>0</v>
      </c>
      <c r="E356" s="14">
        <v>1</v>
      </c>
      <c r="F356" s="14">
        <v>6</v>
      </c>
      <c r="G356" s="14" t="b">
        <v>0</v>
      </c>
      <c r="H356" s="14">
        <v>0</v>
      </c>
      <c r="I356" s="14">
        <v>2</v>
      </c>
      <c r="J356" s="14">
        <v>0.26</v>
      </c>
      <c r="K356">
        <f>VLOOKUP(A356,[1]dataset_2!B:H,2,FALSE)</f>
        <v>0.2576</v>
      </c>
      <c r="L356">
        <f>VLOOKUP(A356,[1]dataset_2!B:H,3,FALSE)</f>
        <v>0.56000000000000005</v>
      </c>
      <c r="M356">
        <f>VLOOKUP(A356,[1]dataset_2!B:H,4,FALSE)</f>
        <v>0.16420000000000001</v>
      </c>
      <c r="N356">
        <f>VLOOKUP(A356,[1]dataset_2!B:H,5,FALSE)</f>
        <v>0</v>
      </c>
      <c r="O356">
        <f>VLOOKUP(A356,[1]dataset_2!B:H,6,FALSE)</f>
        <v>1</v>
      </c>
      <c r="P356">
        <f>VLOOKUP(A356,[1]dataset_2!B:H,7,FALSE)</f>
        <v>1</v>
      </c>
      <c r="Q356" t="str">
        <f t="shared" si="15"/>
        <v>Weekend</v>
      </c>
      <c r="R356" t="str">
        <f t="shared" si="16"/>
        <v>Morning</v>
      </c>
      <c r="S356" t="str">
        <f t="shared" si="17"/>
        <v>Low</v>
      </c>
    </row>
    <row r="357" spans="1:19">
      <c r="A357" s="14">
        <v>356</v>
      </c>
      <c r="B357" s="15">
        <v>40559</v>
      </c>
      <c r="C357" s="14">
        <v>1</v>
      </c>
      <c r="D357" s="14">
        <v>0</v>
      </c>
      <c r="E357" s="14">
        <v>1</v>
      </c>
      <c r="F357" s="14">
        <v>7</v>
      </c>
      <c r="G357" s="14" t="b">
        <v>0</v>
      </c>
      <c r="H357" s="14">
        <v>0</v>
      </c>
      <c r="I357" s="14">
        <v>2</v>
      </c>
      <c r="J357" s="14">
        <v>0.24</v>
      </c>
      <c r="K357">
        <f>VLOOKUP(A357,[1]dataset_2!B:H,2,FALSE)</f>
        <v>0.21210000000000001</v>
      </c>
      <c r="L357">
        <f>VLOOKUP(A357,[1]dataset_2!B:H,3,FALSE)</f>
        <v>0.56000000000000005</v>
      </c>
      <c r="M357">
        <f>VLOOKUP(A357,[1]dataset_2!B:H,4,FALSE)</f>
        <v>0.29849999999999999</v>
      </c>
      <c r="N357">
        <f>VLOOKUP(A357,[1]dataset_2!B:H,5,FALSE)</f>
        <v>0</v>
      </c>
      <c r="O357">
        <f>VLOOKUP(A357,[1]dataset_2!B:H,6,FALSE)</f>
        <v>3</v>
      </c>
      <c r="P357">
        <f>VLOOKUP(A357,[1]dataset_2!B:H,7,FALSE)</f>
        <v>3</v>
      </c>
      <c r="Q357" t="str">
        <f t="shared" si="15"/>
        <v>Weekend</v>
      </c>
      <c r="R357" t="str">
        <f t="shared" si="16"/>
        <v>Morning</v>
      </c>
      <c r="S357" t="str">
        <f t="shared" si="17"/>
        <v>Low</v>
      </c>
    </row>
    <row r="358" spans="1:19">
      <c r="A358" s="14">
        <v>357</v>
      </c>
      <c r="B358" s="15">
        <v>40559</v>
      </c>
      <c r="C358" s="14">
        <v>1</v>
      </c>
      <c r="D358" s="14">
        <v>0</v>
      </c>
      <c r="E358" s="14">
        <v>1</v>
      </c>
      <c r="F358" s="14">
        <v>8</v>
      </c>
      <c r="G358" s="14" t="b">
        <v>0</v>
      </c>
      <c r="H358" s="14">
        <v>0</v>
      </c>
      <c r="I358" s="14">
        <v>1</v>
      </c>
      <c r="J358" s="14">
        <v>0.22</v>
      </c>
      <c r="K358">
        <f>VLOOKUP(A358,[1]dataset_2!B:H,2,FALSE)</f>
        <v>0.21210000000000001</v>
      </c>
      <c r="L358">
        <f>VLOOKUP(A358,[1]dataset_2!B:H,3,FALSE)</f>
        <v>0.55000000000000004</v>
      </c>
      <c r="M358">
        <f>VLOOKUP(A358,[1]dataset_2!B:H,4,FALSE)</f>
        <v>0.28360000000000002</v>
      </c>
      <c r="N358">
        <f>VLOOKUP(A358,[1]dataset_2!B:H,5,FALSE)</f>
        <v>0</v>
      </c>
      <c r="O358">
        <f>VLOOKUP(A358,[1]dataset_2!B:H,6,FALSE)</f>
        <v>18</v>
      </c>
      <c r="P358">
        <f>VLOOKUP(A358,[1]dataset_2!B:H,7,FALSE)</f>
        <v>18</v>
      </c>
      <c r="Q358" t="str">
        <f t="shared" si="15"/>
        <v>Weekend</v>
      </c>
      <c r="R358" t="str">
        <f t="shared" si="16"/>
        <v>Morning</v>
      </c>
      <c r="S358" t="str">
        <f t="shared" si="17"/>
        <v>Low</v>
      </c>
    </row>
    <row r="359" spans="1:19">
      <c r="A359" s="14">
        <v>358</v>
      </c>
      <c r="B359" s="15">
        <v>40559</v>
      </c>
      <c r="C359" s="14">
        <v>1</v>
      </c>
      <c r="D359" s="14">
        <v>0</v>
      </c>
      <c r="E359" s="14">
        <v>1</v>
      </c>
      <c r="F359" s="14">
        <v>9</v>
      </c>
      <c r="G359" s="14" t="b">
        <v>0</v>
      </c>
      <c r="H359" s="14">
        <v>0</v>
      </c>
      <c r="I359" s="14">
        <v>1</v>
      </c>
      <c r="J359" s="14">
        <v>0.22</v>
      </c>
      <c r="K359">
        <f>VLOOKUP(A359,[1]dataset_2!B:H,2,FALSE)</f>
        <v>0.21210000000000001</v>
      </c>
      <c r="L359">
        <f>VLOOKUP(A359,[1]dataset_2!B:H,3,FALSE)</f>
        <v>0.51</v>
      </c>
      <c r="M359">
        <f>VLOOKUP(A359,[1]dataset_2!B:H,4,FALSE)</f>
        <v>0.25369999999999998</v>
      </c>
      <c r="N359">
        <f>VLOOKUP(A359,[1]dataset_2!B:H,5,FALSE)</f>
        <v>3</v>
      </c>
      <c r="O359">
        <f>VLOOKUP(A359,[1]dataset_2!B:H,6,FALSE)</f>
        <v>29</v>
      </c>
      <c r="P359">
        <f>VLOOKUP(A359,[1]dataset_2!B:H,7,FALSE)</f>
        <v>32</v>
      </c>
      <c r="Q359" t="str">
        <f t="shared" si="15"/>
        <v>Weekend</v>
      </c>
      <c r="R359" t="str">
        <f t="shared" si="16"/>
        <v>Morning</v>
      </c>
      <c r="S359" t="str">
        <f t="shared" si="17"/>
        <v>Low</v>
      </c>
    </row>
    <row r="360" spans="1:19">
      <c r="A360" s="14">
        <v>359</v>
      </c>
      <c r="B360" s="15">
        <v>40559</v>
      </c>
      <c r="C360" s="14">
        <v>1</v>
      </c>
      <c r="D360" s="14">
        <v>0</v>
      </c>
      <c r="E360" s="14">
        <v>1</v>
      </c>
      <c r="F360" s="14">
        <v>10</v>
      </c>
      <c r="G360" s="14" t="b">
        <v>0</v>
      </c>
      <c r="H360" s="14">
        <v>0</v>
      </c>
      <c r="I360" s="14">
        <v>1</v>
      </c>
      <c r="J360" s="14">
        <v>0.22</v>
      </c>
      <c r="K360">
        <f>VLOOKUP(A360,[1]dataset_2!B:H,2,FALSE)</f>
        <v>0.21210000000000001</v>
      </c>
      <c r="L360">
        <f>VLOOKUP(A360,[1]dataset_2!B:H,3,FALSE)</f>
        <v>0.51</v>
      </c>
      <c r="M360">
        <f>VLOOKUP(A360,[1]dataset_2!B:H,4,FALSE)</f>
        <v>0.28360000000000002</v>
      </c>
      <c r="N360">
        <f>VLOOKUP(A360,[1]dataset_2!B:H,5,FALSE)</f>
        <v>8</v>
      </c>
      <c r="O360">
        <f>VLOOKUP(A360,[1]dataset_2!B:H,6,FALSE)</f>
        <v>71</v>
      </c>
      <c r="P360">
        <f>VLOOKUP(A360,[1]dataset_2!B:H,7,FALSE)</f>
        <v>79</v>
      </c>
      <c r="Q360" t="str">
        <f t="shared" si="15"/>
        <v>Weekend</v>
      </c>
      <c r="R360" t="str">
        <f t="shared" si="16"/>
        <v>Morning</v>
      </c>
      <c r="S360" t="str">
        <f t="shared" si="17"/>
        <v>Low</v>
      </c>
    </row>
    <row r="361" spans="1:19">
      <c r="A361" s="14">
        <v>360</v>
      </c>
      <c r="B361" s="15">
        <v>40559</v>
      </c>
      <c r="C361" s="14">
        <v>1</v>
      </c>
      <c r="D361" s="14">
        <v>0</v>
      </c>
      <c r="E361" s="14">
        <v>1</v>
      </c>
      <c r="F361" s="14">
        <v>11</v>
      </c>
      <c r="G361" s="14" t="b">
        <v>0</v>
      </c>
      <c r="H361" s="14">
        <v>0</v>
      </c>
      <c r="I361" s="14">
        <v>1</v>
      </c>
      <c r="J361" s="14">
        <v>0.24</v>
      </c>
      <c r="K361">
        <f>VLOOKUP(A361,[1]dataset_2!B:H,2,FALSE)</f>
        <v>0.2273</v>
      </c>
      <c r="L361">
        <f>VLOOKUP(A361,[1]dataset_2!B:H,3,FALSE)</f>
        <v>0.44</v>
      </c>
      <c r="M361">
        <f>VLOOKUP(A361,[1]dataset_2!B:H,4,FALSE)</f>
        <v>0.25369999999999998</v>
      </c>
      <c r="N361">
        <f>VLOOKUP(A361,[1]dataset_2!B:H,5,FALSE)</f>
        <v>23</v>
      </c>
      <c r="O361">
        <f>VLOOKUP(A361,[1]dataset_2!B:H,6,FALSE)</f>
        <v>70</v>
      </c>
      <c r="P361">
        <f>VLOOKUP(A361,[1]dataset_2!B:H,7,FALSE)</f>
        <v>93</v>
      </c>
      <c r="Q361" t="str">
        <f t="shared" si="15"/>
        <v>Weekend</v>
      </c>
      <c r="R361" t="str">
        <f t="shared" si="16"/>
        <v>Morning</v>
      </c>
      <c r="S361" t="str">
        <f t="shared" si="17"/>
        <v>Low</v>
      </c>
    </row>
    <row r="362" spans="1:19">
      <c r="A362" s="14">
        <v>361</v>
      </c>
      <c r="B362" s="15">
        <v>40559</v>
      </c>
      <c r="C362" s="14">
        <v>1</v>
      </c>
      <c r="D362" s="14">
        <v>0</v>
      </c>
      <c r="E362" s="14">
        <v>1</v>
      </c>
      <c r="F362" s="14">
        <v>12</v>
      </c>
      <c r="G362" s="14" t="b">
        <v>0</v>
      </c>
      <c r="H362" s="14">
        <v>0</v>
      </c>
      <c r="I362" s="14">
        <v>1</v>
      </c>
      <c r="J362" s="14">
        <v>0.24</v>
      </c>
      <c r="K362">
        <f>VLOOKUP(A362,[1]dataset_2!B:H,2,FALSE)</f>
        <v>0.21210000000000001</v>
      </c>
      <c r="L362">
        <f>VLOOKUP(A362,[1]dataset_2!B:H,3,FALSE)</f>
        <v>0.41</v>
      </c>
      <c r="M362">
        <f>VLOOKUP(A362,[1]dataset_2!B:H,4,FALSE)</f>
        <v>0.28360000000000002</v>
      </c>
      <c r="N362">
        <f>VLOOKUP(A362,[1]dataset_2!B:H,5,FALSE)</f>
        <v>29</v>
      </c>
      <c r="O362">
        <f>VLOOKUP(A362,[1]dataset_2!B:H,6,FALSE)</f>
        <v>75</v>
      </c>
      <c r="P362">
        <f>VLOOKUP(A362,[1]dataset_2!B:H,7,FALSE)</f>
        <v>104</v>
      </c>
      <c r="Q362" t="str">
        <f t="shared" si="15"/>
        <v>Weekend</v>
      </c>
      <c r="R362" t="str">
        <f t="shared" si="16"/>
        <v>Afternoon</v>
      </c>
      <c r="S362" t="str">
        <f t="shared" si="17"/>
        <v>High</v>
      </c>
    </row>
    <row r="363" spans="1:19">
      <c r="A363" s="14">
        <v>362</v>
      </c>
      <c r="B363" s="15">
        <v>40559</v>
      </c>
      <c r="C363" s="14">
        <v>1</v>
      </c>
      <c r="D363" s="14">
        <v>0</v>
      </c>
      <c r="E363" s="14">
        <v>1</v>
      </c>
      <c r="F363" s="14">
        <v>13</v>
      </c>
      <c r="G363" s="14" t="b">
        <v>0</v>
      </c>
      <c r="H363" s="14">
        <v>0</v>
      </c>
      <c r="I363" s="14">
        <v>1</v>
      </c>
      <c r="J363" s="14">
        <v>0.26</v>
      </c>
      <c r="K363">
        <f>VLOOKUP(A363,[1]dataset_2!B:H,2,FALSE)</f>
        <v>0.2273</v>
      </c>
      <c r="L363">
        <f>VLOOKUP(A363,[1]dataset_2!B:H,3,FALSE)</f>
        <v>0.35</v>
      </c>
      <c r="M363">
        <f>VLOOKUP(A363,[1]dataset_2!B:H,4,FALSE)</f>
        <v>0.29849999999999999</v>
      </c>
      <c r="N363">
        <f>VLOOKUP(A363,[1]dataset_2!B:H,5,FALSE)</f>
        <v>23</v>
      </c>
      <c r="O363">
        <f>VLOOKUP(A363,[1]dataset_2!B:H,6,FALSE)</f>
        <v>95</v>
      </c>
      <c r="P363">
        <f>VLOOKUP(A363,[1]dataset_2!B:H,7,FALSE)</f>
        <v>118</v>
      </c>
      <c r="Q363" t="str">
        <f t="shared" si="15"/>
        <v>Weekend</v>
      </c>
      <c r="R363" t="str">
        <f t="shared" si="16"/>
        <v>Afternoon</v>
      </c>
      <c r="S363" t="str">
        <f t="shared" si="17"/>
        <v>High</v>
      </c>
    </row>
    <row r="364" spans="1:19">
      <c r="A364" s="14">
        <v>363</v>
      </c>
      <c r="B364" s="15">
        <v>40559</v>
      </c>
      <c r="C364" s="14">
        <v>1</v>
      </c>
      <c r="D364" s="14">
        <v>0</v>
      </c>
      <c r="E364" s="14">
        <v>1</v>
      </c>
      <c r="F364" s="14">
        <v>14</v>
      </c>
      <c r="G364" s="14" t="b">
        <v>0</v>
      </c>
      <c r="H364" s="14">
        <v>0</v>
      </c>
      <c r="I364" s="14">
        <v>1</v>
      </c>
      <c r="J364" s="14">
        <v>0.28000000000000003</v>
      </c>
      <c r="K364">
        <f>VLOOKUP(A364,[1]dataset_2!B:H,2,FALSE)</f>
        <v>0.2727</v>
      </c>
      <c r="L364">
        <f>VLOOKUP(A364,[1]dataset_2!B:H,3,FALSE)</f>
        <v>0.36</v>
      </c>
      <c r="M364">
        <f>VLOOKUP(A364,[1]dataset_2!B:H,4,FALSE)</f>
        <v>0.25369999999999998</v>
      </c>
      <c r="N364">
        <f>VLOOKUP(A364,[1]dataset_2!B:H,5,FALSE)</f>
        <v>22</v>
      </c>
      <c r="O364">
        <f>VLOOKUP(A364,[1]dataset_2!B:H,6,FALSE)</f>
        <v>69</v>
      </c>
      <c r="P364">
        <f>VLOOKUP(A364,[1]dataset_2!B:H,7,FALSE)</f>
        <v>91</v>
      </c>
      <c r="Q364" t="str">
        <f t="shared" si="15"/>
        <v>Weekend</v>
      </c>
      <c r="R364" t="str">
        <f t="shared" si="16"/>
        <v>Afternoon</v>
      </c>
      <c r="S364" t="str">
        <f t="shared" si="17"/>
        <v>Low</v>
      </c>
    </row>
    <row r="365" spans="1:19">
      <c r="A365" s="14">
        <v>364</v>
      </c>
      <c r="B365" s="15">
        <v>40559</v>
      </c>
      <c r="C365" s="14">
        <v>1</v>
      </c>
      <c r="D365" s="14">
        <v>0</v>
      </c>
      <c r="E365" s="14">
        <v>1</v>
      </c>
      <c r="F365" s="14">
        <v>15</v>
      </c>
      <c r="G365" s="14" t="b">
        <v>0</v>
      </c>
      <c r="H365" s="14">
        <v>0</v>
      </c>
      <c r="I365" s="14">
        <v>1</v>
      </c>
      <c r="J365" s="14">
        <v>0.26</v>
      </c>
      <c r="K365">
        <f>VLOOKUP(A365,[1]dataset_2!B:H,2,FALSE)</f>
        <v>0.2424</v>
      </c>
      <c r="L365">
        <f>VLOOKUP(A365,[1]dataset_2!B:H,3,FALSE)</f>
        <v>0.38</v>
      </c>
      <c r="M365">
        <f>VLOOKUP(A365,[1]dataset_2!B:H,4,FALSE)</f>
        <v>0.25369999999999998</v>
      </c>
      <c r="N365">
        <f>VLOOKUP(A365,[1]dataset_2!B:H,5,FALSE)</f>
        <v>35</v>
      </c>
      <c r="O365">
        <f>VLOOKUP(A365,[1]dataset_2!B:H,6,FALSE)</f>
        <v>78</v>
      </c>
      <c r="P365">
        <f>VLOOKUP(A365,[1]dataset_2!B:H,7,FALSE)</f>
        <v>113</v>
      </c>
      <c r="Q365" t="str">
        <f t="shared" si="15"/>
        <v>Weekend</v>
      </c>
      <c r="R365" t="str">
        <f t="shared" si="16"/>
        <v>Afternoon</v>
      </c>
      <c r="S365" t="str">
        <f t="shared" si="17"/>
        <v>High</v>
      </c>
    </row>
    <row r="366" spans="1:19">
      <c r="A366" s="14">
        <v>365</v>
      </c>
      <c r="B366" s="15">
        <v>40559</v>
      </c>
      <c r="C366" s="14">
        <v>1</v>
      </c>
      <c r="D366" s="14">
        <v>0</v>
      </c>
      <c r="E366" s="14">
        <v>1</v>
      </c>
      <c r="F366" s="14">
        <v>16</v>
      </c>
      <c r="G366" s="14" t="b">
        <v>0</v>
      </c>
      <c r="H366" s="14">
        <v>0</v>
      </c>
      <c r="I366" s="14">
        <v>1</v>
      </c>
      <c r="J366" s="14">
        <v>0.24</v>
      </c>
      <c r="K366">
        <f>VLOOKUP(A366,[1]dataset_2!B:H,2,FALSE)</f>
        <v>0.2273</v>
      </c>
      <c r="L366">
        <f>VLOOKUP(A366,[1]dataset_2!B:H,3,FALSE)</f>
        <v>0.38</v>
      </c>
      <c r="M366">
        <f>VLOOKUP(A366,[1]dataset_2!B:H,4,FALSE)</f>
        <v>0.22389999999999999</v>
      </c>
      <c r="N366">
        <f>VLOOKUP(A366,[1]dataset_2!B:H,5,FALSE)</f>
        <v>22</v>
      </c>
      <c r="O366">
        <f>VLOOKUP(A366,[1]dataset_2!B:H,6,FALSE)</f>
        <v>77</v>
      </c>
      <c r="P366">
        <f>VLOOKUP(A366,[1]dataset_2!B:H,7,FALSE)</f>
        <v>99</v>
      </c>
      <c r="Q366" t="str">
        <f t="shared" si="15"/>
        <v>Weekend</v>
      </c>
      <c r="R366" t="str">
        <f t="shared" si="16"/>
        <v>Afternoon</v>
      </c>
      <c r="S366" t="str">
        <f t="shared" si="17"/>
        <v>Low</v>
      </c>
    </row>
    <row r="367" spans="1:19">
      <c r="A367" s="14">
        <v>366</v>
      </c>
      <c r="B367" s="15">
        <v>40559</v>
      </c>
      <c r="C367" s="14">
        <v>1</v>
      </c>
      <c r="D367" s="14">
        <v>0</v>
      </c>
      <c r="E367" s="14">
        <v>1</v>
      </c>
      <c r="F367" s="14">
        <v>17</v>
      </c>
      <c r="G367" s="14" t="b">
        <v>0</v>
      </c>
      <c r="H367" s="14">
        <v>0</v>
      </c>
      <c r="I367" s="14">
        <v>1</v>
      </c>
      <c r="J367" s="14">
        <v>0.22</v>
      </c>
      <c r="K367">
        <f>VLOOKUP(A367,[1]dataset_2!B:H,2,FALSE)</f>
        <v>0.21210000000000001</v>
      </c>
      <c r="L367">
        <f>VLOOKUP(A367,[1]dataset_2!B:H,3,FALSE)</f>
        <v>0.37</v>
      </c>
      <c r="M367">
        <f>VLOOKUP(A367,[1]dataset_2!B:H,4,FALSE)</f>
        <v>0.25369999999999998</v>
      </c>
      <c r="N367">
        <f>VLOOKUP(A367,[1]dataset_2!B:H,5,FALSE)</f>
        <v>23</v>
      </c>
      <c r="O367">
        <f>VLOOKUP(A367,[1]dataset_2!B:H,6,FALSE)</f>
        <v>82</v>
      </c>
      <c r="P367">
        <f>VLOOKUP(A367,[1]dataset_2!B:H,7,FALSE)</f>
        <v>105</v>
      </c>
      <c r="Q367" t="str">
        <f t="shared" si="15"/>
        <v>Weekend</v>
      </c>
      <c r="R367" t="str">
        <f t="shared" si="16"/>
        <v>Afternoon</v>
      </c>
      <c r="S367" t="str">
        <f t="shared" si="17"/>
        <v>High</v>
      </c>
    </row>
    <row r="368" spans="1:19">
      <c r="A368" s="14">
        <v>367</v>
      </c>
      <c r="B368" s="15">
        <v>40559</v>
      </c>
      <c r="C368" s="14">
        <v>1</v>
      </c>
      <c r="D368" s="14">
        <v>0</v>
      </c>
      <c r="E368" s="14">
        <v>1</v>
      </c>
      <c r="F368" s="14">
        <v>18</v>
      </c>
      <c r="G368" s="14" t="b">
        <v>0</v>
      </c>
      <c r="H368" s="14">
        <v>0</v>
      </c>
      <c r="I368" s="14">
        <v>1</v>
      </c>
      <c r="J368" s="14">
        <v>0.2</v>
      </c>
      <c r="K368">
        <f>VLOOKUP(A368,[1]dataset_2!B:H,2,FALSE)</f>
        <v>0.21210000000000001</v>
      </c>
      <c r="L368">
        <f>VLOOKUP(A368,[1]dataset_2!B:H,3,FALSE)</f>
        <v>0.4</v>
      </c>
      <c r="M368">
        <f>VLOOKUP(A368,[1]dataset_2!B:H,4,FALSE)</f>
        <v>0.16420000000000001</v>
      </c>
      <c r="N368">
        <f>VLOOKUP(A368,[1]dataset_2!B:H,5,FALSE)</f>
        <v>11</v>
      </c>
      <c r="O368">
        <f>VLOOKUP(A368,[1]dataset_2!B:H,6,FALSE)</f>
        <v>56</v>
      </c>
      <c r="P368">
        <f>VLOOKUP(A368,[1]dataset_2!B:H,7,FALSE)</f>
        <v>67</v>
      </c>
      <c r="Q368" t="str">
        <f t="shared" si="15"/>
        <v>Weekend</v>
      </c>
      <c r="R368" t="str">
        <f t="shared" si="16"/>
        <v>Evening</v>
      </c>
      <c r="S368" t="str">
        <f t="shared" si="17"/>
        <v>Low</v>
      </c>
    </row>
    <row r="369" spans="1:19">
      <c r="A369" s="14">
        <v>368</v>
      </c>
      <c r="B369" s="15">
        <v>40559</v>
      </c>
      <c r="C369" s="14">
        <v>1</v>
      </c>
      <c r="D369" s="14">
        <v>0</v>
      </c>
      <c r="E369" s="14">
        <v>1</v>
      </c>
      <c r="F369" s="14">
        <v>19</v>
      </c>
      <c r="G369" s="14" t="b">
        <v>0</v>
      </c>
      <c r="H369" s="14">
        <v>0</v>
      </c>
      <c r="I369" s="14">
        <v>1</v>
      </c>
      <c r="J369" s="14">
        <v>0.18</v>
      </c>
      <c r="K369">
        <f>VLOOKUP(A369,[1]dataset_2!B:H,2,FALSE)</f>
        <v>0.19700000000000001</v>
      </c>
      <c r="L369">
        <f>VLOOKUP(A369,[1]dataset_2!B:H,3,FALSE)</f>
        <v>0.47</v>
      </c>
      <c r="M369">
        <f>VLOOKUP(A369,[1]dataset_2!B:H,4,FALSE)</f>
        <v>0.1343</v>
      </c>
      <c r="N369">
        <f>VLOOKUP(A369,[1]dataset_2!B:H,5,FALSE)</f>
        <v>14</v>
      </c>
      <c r="O369">
        <f>VLOOKUP(A369,[1]dataset_2!B:H,6,FALSE)</f>
        <v>47</v>
      </c>
      <c r="P369">
        <f>VLOOKUP(A369,[1]dataset_2!B:H,7,FALSE)</f>
        <v>61</v>
      </c>
      <c r="Q369" t="str">
        <f t="shared" si="15"/>
        <v>Weekend</v>
      </c>
      <c r="R369" t="str">
        <f t="shared" si="16"/>
        <v>Evening</v>
      </c>
      <c r="S369" t="str">
        <f t="shared" si="17"/>
        <v>Low</v>
      </c>
    </row>
    <row r="370" spans="1:19">
      <c r="A370" s="14">
        <v>369</v>
      </c>
      <c r="B370" s="15">
        <v>40559</v>
      </c>
      <c r="C370" s="14">
        <v>1</v>
      </c>
      <c r="D370" s="14">
        <v>0</v>
      </c>
      <c r="E370" s="14">
        <v>1</v>
      </c>
      <c r="F370" s="14">
        <v>20</v>
      </c>
      <c r="G370" s="14" t="b">
        <v>0</v>
      </c>
      <c r="H370" s="14">
        <v>0</v>
      </c>
      <c r="I370" s="14">
        <v>1</v>
      </c>
      <c r="J370" s="14">
        <v>0.18</v>
      </c>
      <c r="K370">
        <f>VLOOKUP(A370,[1]dataset_2!B:H,2,FALSE)</f>
        <v>0.19700000000000001</v>
      </c>
      <c r="L370">
        <f>VLOOKUP(A370,[1]dataset_2!B:H,3,FALSE)</f>
        <v>0.47</v>
      </c>
      <c r="M370">
        <f>VLOOKUP(A370,[1]dataset_2!B:H,4,FALSE)</f>
        <v>0.16420000000000001</v>
      </c>
      <c r="N370">
        <f>VLOOKUP(A370,[1]dataset_2!B:H,5,FALSE)</f>
        <v>7</v>
      </c>
      <c r="O370">
        <f>VLOOKUP(A370,[1]dataset_2!B:H,6,FALSE)</f>
        <v>50</v>
      </c>
      <c r="P370">
        <f>VLOOKUP(A370,[1]dataset_2!B:H,7,FALSE)</f>
        <v>57</v>
      </c>
      <c r="Q370" t="str">
        <f t="shared" si="15"/>
        <v>Weekend</v>
      </c>
      <c r="R370" t="str">
        <f t="shared" si="16"/>
        <v>Evening</v>
      </c>
      <c r="S370" t="str">
        <f t="shared" si="17"/>
        <v>Low</v>
      </c>
    </row>
    <row r="371" spans="1:19">
      <c r="A371" s="14">
        <v>370</v>
      </c>
      <c r="B371" s="15">
        <v>40559</v>
      </c>
      <c r="C371" s="14">
        <v>1</v>
      </c>
      <c r="D371" s="14">
        <v>0</v>
      </c>
      <c r="E371" s="14">
        <v>1</v>
      </c>
      <c r="F371" s="14">
        <v>21</v>
      </c>
      <c r="G371" s="14" t="b">
        <v>0</v>
      </c>
      <c r="H371" s="14">
        <v>0</v>
      </c>
      <c r="I371" s="14">
        <v>1</v>
      </c>
      <c r="J371" s="14">
        <v>0.18</v>
      </c>
      <c r="K371">
        <f>VLOOKUP(A371,[1]dataset_2!B:H,2,FALSE)</f>
        <v>0.19700000000000001</v>
      </c>
      <c r="L371">
        <f>VLOOKUP(A371,[1]dataset_2!B:H,3,FALSE)</f>
        <v>0.51</v>
      </c>
      <c r="M371">
        <f>VLOOKUP(A371,[1]dataset_2!B:H,4,FALSE)</f>
        <v>0.16420000000000001</v>
      </c>
      <c r="N371">
        <f>VLOOKUP(A371,[1]dataset_2!B:H,5,FALSE)</f>
        <v>6</v>
      </c>
      <c r="O371">
        <f>VLOOKUP(A371,[1]dataset_2!B:H,6,FALSE)</f>
        <v>22</v>
      </c>
      <c r="P371">
        <f>VLOOKUP(A371,[1]dataset_2!B:H,7,FALSE)</f>
        <v>28</v>
      </c>
      <c r="Q371" t="str">
        <f t="shared" si="15"/>
        <v>Weekend</v>
      </c>
      <c r="R371" t="str">
        <f t="shared" si="16"/>
        <v>Evening</v>
      </c>
      <c r="S371" t="str">
        <f t="shared" si="17"/>
        <v>Low</v>
      </c>
    </row>
    <row r="372" spans="1:19">
      <c r="A372" s="14">
        <v>371</v>
      </c>
      <c r="B372" s="15">
        <v>40559</v>
      </c>
      <c r="C372" s="14">
        <v>1</v>
      </c>
      <c r="D372" s="14">
        <v>0</v>
      </c>
      <c r="E372" s="14">
        <v>1</v>
      </c>
      <c r="F372" s="14">
        <v>22</v>
      </c>
      <c r="G372" s="14" t="b">
        <v>0</v>
      </c>
      <c r="H372" s="14">
        <v>0</v>
      </c>
      <c r="I372" s="14">
        <v>2</v>
      </c>
      <c r="J372" s="14">
        <v>0.2</v>
      </c>
      <c r="K372">
        <f>VLOOKUP(A372,[1]dataset_2!B:H,2,FALSE)</f>
        <v>0.21210000000000001</v>
      </c>
      <c r="L372">
        <f>VLOOKUP(A372,[1]dataset_2!B:H,3,FALSE)</f>
        <v>0.49</v>
      </c>
      <c r="M372">
        <f>VLOOKUP(A372,[1]dataset_2!B:H,4,FALSE)</f>
        <v>0.1343</v>
      </c>
      <c r="N372">
        <f>VLOOKUP(A372,[1]dataset_2!B:H,5,FALSE)</f>
        <v>2</v>
      </c>
      <c r="O372">
        <f>VLOOKUP(A372,[1]dataset_2!B:H,6,FALSE)</f>
        <v>19</v>
      </c>
      <c r="P372">
        <f>VLOOKUP(A372,[1]dataset_2!B:H,7,FALSE)</f>
        <v>21</v>
      </c>
      <c r="Q372" t="str">
        <f t="shared" si="15"/>
        <v>Weekend</v>
      </c>
      <c r="R372" t="str">
        <f t="shared" si="16"/>
        <v>Evening</v>
      </c>
      <c r="S372" t="str">
        <f t="shared" si="17"/>
        <v>Low</v>
      </c>
    </row>
    <row r="373" spans="1:19">
      <c r="A373" s="14">
        <v>372</v>
      </c>
      <c r="B373" s="15">
        <v>40559</v>
      </c>
      <c r="C373" s="14">
        <v>1</v>
      </c>
      <c r="D373" s="14">
        <v>0</v>
      </c>
      <c r="E373" s="14">
        <v>1</v>
      </c>
      <c r="F373" s="14">
        <v>23</v>
      </c>
      <c r="G373" s="14" t="b">
        <v>0</v>
      </c>
      <c r="H373" s="14">
        <v>0</v>
      </c>
      <c r="I373" s="14">
        <v>2</v>
      </c>
      <c r="J373" s="14">
        <v>0.2</v>
      </c>
      <c r="K373">
        <f>VLOOKUP(A373,[1]dataset_2!B:H,2,FALSE)</f>
        <v>0.2273</v>
      </c>
      <c r="L373">
        <f>VLOOKUP(A373,[1]dataset_2!B:H,3,FALSE)</f>
        <v>0.4</v>
      </c>
      <c r="M373">
        <f>VLOOKUP(A373,[1]dataset_2!B:H,4,FALSE)</f>
        <v>0.1045</v>
      </c>
      <c r="N373">
        <f>VLOOKUP(A373,[1]dataset_2!B:H,5,FALSE)</f>
        <v>0</v>
      </c>
      <c r="O373">
        <f>VLOOKUP(A373,[1]dataset_2!B:H,6,FALSE)</f>
        <v>18</v>
      </c>
      <c r="P373">
        <f>VLOOKUP(A373,[1]dataset_2!B:H,7,FALSE)</f>
        <v>18</v>
      </c>
      <c r="Q373" t="str">
        <f t="shared" si="15"/>
        <v>Weekend</v>
      </c>
      <c r="R373" t="str">
        <f t="shared" si="16"/>
        <v>Evening</v>
      </c>
      <c r="S373" t="str">
        <f t="shared" si="17"/>
        <v>Low</v>
      </c>
    </row>
    <row r="374" spans="1:19">
      <c r="A374" s="14">
        <v>373</v>
      </c>
      <c r="B374" s="15">
        <v>40560</v>
      </c>
      <c r="C374" s="14">
        <v>1</v>
      </c>
      <c r="D374" s="14">
        <v>0</v>
      </c>
      <c r="E374" s="14">
        <v>1</v>
      </c>
      <c r="F374" s="14">
        <v>0</v>
      </c>
      <c r="G374" s="14" t="b">
        <v>1</v>
      </c>
      <c r="H374" s="14">
        <v>1</v>
      </c>
      <c r="I374" s="14">
        <v>2</v>
      </c>
      <c r="J374" s="14">
        <v>0.2</v>
      </c>
      <c r="K374">
        <f>VLOOKUP(A374,[1]dataset_2!B:H,2,FALSE)</f>
        <v>0.19700000000000001</v>
      </c>
      <c r="L374">
        <f>VLOOKUP(A374,[1]dataset_2!B:H,3,FALSE)</f>
        <v>0.47</v>
      </c>
      <c r="M374">
        <f>VLOOKUP(A374,[1]dataset_2!B:H,4,FALSE)</f>
        <v>0.22389999999999999</v>
      </c>
      <c r="N374">
        <f>VLOOKUP(A374,[1]dataset_2!B:H,5,FALSE)</f>
        <v>1</v>
      </c>
      <c r="O374">
        <f>VLOOKUP(A374,[1]dataset_2!B:H,6,FALSE)</f>
        <v>16</v>
      </c>
      <c r="P374">
        <f>VLOOKUP(A374,[1]dataset_2!B:H,7,FALSE)</f>
        <v>17</v>
      </c>
      <c r="Q374" t="str">
        <f t="shared" si="15"/>
        <v>Weekday</v>
      </c>
      <c r="R374" t="str">
        <f t="shared" si="16"/>
        <v>Morning</v>
      </c>
      <c r="S374" t="str">
        <f t="shared" si="17"/>
        <v>Low</v>
      </c>
    </row>
    <row r="375" spans="1:19">
      <c r="A375" s="14">
        <v>374</v>
      </c>
      <c r="B375" s="15">
        <v>40560</v>
      </c>
      <c r="C375" s="14">
        <v>1</v>
      </c>
      <c r="D375" s="14">
        <v>0</v>
      </c>
      <c r="E375" s="14">
        <v>1</v>
      </c>
      <c r="F375" s="14">
        <v>1</v>
      </c>
      <c r="G375" s="14" t="b">
        <v>1</v>
      </c>
      <c r="H375" s="14">
        <v>1</v>
      </c>
      <c r="I375" s="14">
        <v>2</v>
      </c>
      <c r="J375" s="14">
        <v>0.2</v>
      </c>
      <c r="K375">
        <f>VLOOKUP(A375,[1]dataset_2!B:H,2,FALSE)</f>
        <v>0.19700000000000001</v>
      </c>
      <c r="L375">
        <f>VLOOKUP(A375,[1]dataset_2!B:H,3,FALSE)</f>
        <v>0.44</v>
      </c>
      <c r="M375">
        <f>VLOOKUP(A375,[1]dataset_2!B:H,4,FALSE)</f>
        <v>0.19400000000000001</v>
      </c>
      <c r="N375">
        <f>VLOOKUP(A375,[1]dataset_2!B:H,5,FALSE)</f>
        <v>1</v>
      </c>
      <c r="O375">
        <f>VLOOKUP(A375,[1]dataset_2!B:H,6,FALSE)</f>
        <v>15</v>
      </c>
      <c r="P375">
        <f>VLOOKUP(A375,[1]dataset_2!B:H,7,FALSE)</f>
        <v>16</v>
      </c>
      <c r="Q375" t="str">
        <f t="shared" si="15"/>
        <v>Weekday</v>
      </c>
      <c r="R375" t="str">
        <f t="shared" si="16"/>
        <v>Morning</v>
      </c>
      <c r="S375" t="str">
        <f t="shared" si="17"/>
        <v>Low</v>
      </c>
    </row>
    <row r="376" spans="1:19">
      <c r="A376" s="14">
        <v>375</v>
      </c>
      <c r="B376" s="15">
        <v>40560</v>
      </c>
      <c r="C376" s="14">
        <v>1</v>
      </c>
      <c r="D376" s="14">
        <v>0</v>
      </c>
      <c r="E376" s="14">
        <v>1</v>
      </c>
      <c r="F376" s="14">
        <v>2</v>
      </c>
      <c r="G376" s="14" t="b">
        <v>1</v>
      </c>
      <c r="H376" s="14">
        <v>1</v>
      </c>
      <c r="I376" s="14">
        <v>2</v>
      </c>
      <c r="J376" s="14">
        <v>0.18</v>
      </c>
      <c r="K376">
        <f>VLOOKUP(A376,[1]dataset_2!B:H,2,FALSE)</f>
        <v>0.16669999999999999</v>
      </c>
      <c r="L376">
        <f>VLOOKUP(A376,[1]dataset_2!B:H,3,FALSE)</f>
        <v>0.43</v>
      </c>
      <c r="M376">
        <f>VLOOKUP(A376,[1]dataset_2!B:H,4,FALSE)</f>
        <v>0.25369999999999998</v>
      </c>
      <c r="N376">
        <f>VLOOKUP(A376,[1]dataset_2!B:H,5,FALSE)</f>
        <v>0</v>
      </c>
      <c r="O376">
        <f>VLOOKUP(A376,[1]dataset_2!B:H,6,FALSE)</f>
        <v>8</v>
      </c>
      <c r="P376">
        <f>VLOOKUP(A376,[1]dataset_2!B:H,7,FALSE)</f>
        <v>8</v>
      </c>
      <c r="Q376" t="str">
        <f t="shared" si="15"/>
        <v>Weekday</v>
      </c>
      <c r="R376" t="str">
        <f t="shared" si="16"/>
        <v>Morning</v>
      </c>
      <c r="S376" t="str">
        <f t="shared" si="17"/>
        <v>Low</v>
      </c>
    </row>
    <row r="377" spans="1:19">
      <c r="A377" s="14">
        <v>376</v>
      </c>
      <c r="B377" s="15">
        <v>40560</v>
      </c>
      <c r="C377" s="14">
        <v>1</v>
      </c>
      <c r="D377" s="14">
        <v>0</v>
      </c>
      <c r="E377" s="14">
        <v>1</v>
      </c>
      <c r="F377" s="14">
        <v>3</v>
      </c>
      <c r="G377" s="14" t="b">
        <v>1</v>
      </c>
      <c r="H377" s="14">
        <v>1</v>
      </c>
      <c r="I377" s="14">
        <v>2</v>
      </c>
      <c r="J377" s="14">
        <v>0.18</v>
      </c>
      <c r="K377">
        <f>VLOOKUP(A377,[1]dataset_2!B:H,2,FALSE)</f>
        <v>0.18179999999999999</v>
      </c>
      <c r="L377">
        <f>VLOOKUP(A377,[1]dataset_2!B:H,3,FALSE)</f>
        <v>0.43</v>
      </c>
      <c r="M377">
        <f>VLOOKUP(A377,[1]dataset_2!B:H,4,FALSE)</f>
        <v>0.19400000000000001</v>
      </c>
      <c r="N377">
        <f>VLOOKUP(A377,[1]dataset_2!B:H,5,FALSE)</f>
        <v>0</v>
      </c>
      <c r="O377">
        <f>VLOOKUP(A377,[1]dataset_2!B:H,6,FALSE)</f>
        <v>2</v>
      </c>
      <c r="P377">
        <f>VLOOKUP(A377,[1]dataset_2!B:H,7,FALSE)</f>
        <v>2</v>
      </c>
      <c r="Q377" t="str">
        <f t="shared" si="15"/>
        <v>Weekday</v>
      </c>
      <c r="R377" t="str">
        <f t="shared" si="16"/>
        <v>Morning</v>
      </c>
      <c r="S377" t="str">
        <f t="shared" si="17"/>
        <v>Low</v>
      </c>
    </row>
    <row r="378" spans="1:19">
      <c r="A378" s="14">
        <v>377</v>
      </c>
      <c r="B378" s="15">
        <v>40560</v>
      </c>
      <c r="C378" s="14">
        <v>1</v>
      </c>
      <c r="D378" s="14">
        <v>0</v>
      </c>
      <c r="E378" s="14">
        <v>1</v>
      </c>
      <c r="F378" s="14">
        <v>4</v>
      </c>
      <c r="G378" s="14" t="b">
        <v>1</v>
      </c>
      <c r="H378" s="14">
        <v>1</v>
      </c>
      <c r="I378" s="14">
        <v>2</v>
      </c>
      <c r="J378" s="14">
        <v>0.18</v>
      </c>
      <c r="K378">
        <f>VLOOKUP(A378,[1]dataset_2!B:H,2,FALSE)</f>
        <v>0.19700000000000001</v>
      </c>
      <c r="L378">
        <f>VLOOKUP(A378,[1]dataset_2!B:H,3,FALSE)</f>
        <v>0.43</v>
      </c>
      <c r="M378">
        <f>VLOOKUP(A378,[1]dataset_2!B:H,4,FALSE)</f>
        <v>0.1343</v>
      </c>
      <c r="N378">
        <f>VLOOKUP(A378,[1]dataset_2!B:H,5,FALSE)</f>
        <v>1</v>
      </c>
      <c r="O378">
        <f>VLOOKUP(A378,[1]dataset_2!B:H,6,FALSE)</f>
        <v>2</v>
      </c>
      <c r="P378">
        <f>VLOOKUP(A378,[1]dataset_2!B:H,7,FALSE)</f>
        <v>3</v>
      </c>
      <c r="Q378" t="str">
        <f t="shared" si="15"/>
        <v>Weekday</v>
      </c>
      <c r="R378" t="str">
        <f t="shared" si="16"/>
        <v>Morning</v>
      </c>
      <c r="S378" t="str">
        <f t="shared" si="17"/>
        <v>Low</v>
      </c>
    </row>
    <row r="379" spans="1:19">
      <c r="A379" s="14">
        <v>378</v>
      </c>
      <c r="B379" s="15">
        <v>40560</v>
      </c>
      <c r="C379" s="14">
        <v>1</v>
      </c>
      <c r="D379" s="14">
        <v>0</v>
      </c>
      <c r="E379" s="14">
        <v>1</v>
      </c>
      <c r="F379" s="14">
        <v>5</v>
      </c>
      <c r="G379" s="14" t="b">
        <v>1</v>
      </c>
      <c r="H379" s="14">
        <v>1</v>
      </c>
      <c r="I379" s="14">
        <v>2</v>
      </c>
      <c r="J379" s="14">
        <v>0.18</v>
      </c>
      <c r="K379">
        <f>VLOOKUP(A379,[1]dataset_2!B:H,2,FALSE)</f>
        <v>0.19700000000000001</v>
      </c>
      <c r="L379">
        <f>VLOOKUP(A379,[1]dataset_2!B:H,3,FALSE)</f>
        <v>0.43</v>
      </c>
      <c r="M379">
        <f>VLOOKUP(A379,[1]dataset_2!B:H,4,FALSE)</f>
        <v>0.16420000000000001</v>
      </c>
      <c r="N379">
        <f>VLOOKUP(A379,[1]dataset_2!B:H,5,FALSE)</f>
        <v>0</v>
      </c>
      <c r="O379">
        <f>VLOOKUP(A379,[1]dataset_2!B:H,6,FALSE)</f>
        <v>1</v>
      </c>
      <c r="P379">
        <f>VLOOKUP(A379,[1]dataset_2!B:H,7,FALSE)</f>
        <v>1</v>
      </c>
      <c r="Q379" t="str">
        <f t="shared" si="15"/>
        <v>Weekday</v>
      </c>
      <c r="R379" t="str">
        <f t="shared" si="16"/>
        <v>Morning</v>
      </c>
      <c r="S379" t="str">
        <f t="shared" si="17"/>
        <v>Low</v>
      </c>
    </row>
    <row r="380" spans="1:19">
      <c r="A380" s="14">
        <v>379</v>
      </c>
      <c r="B380" s="15">
        <v>40560</v>
      </c>
      <c r="C380" s="14">
        <v>1</v>
      </c>
      <c r="D380" s="14">
        <v>0</v>
      </c>
      <c r="E380" s="14">
        <v>1</v>
      </c>
      <c r="F380" s="14">
        <v>6</v>
      </c>
      <c r="G380" s="14" t="b">
        <v>1</v>
      </c>
      <c r="H380" s="14">
        <v>1</v>
      </c>
      <c r="I380" s="14">
        <v>2</v>
      </c>
      <c r="J380" s="14">
        <v>0.18</v>
      </c>
      <c r="K380">
        <f>VLOOKUP(A380,[1]dataset_2!B:H,2,FALSE)</f>
        <v>0.18179999999999999</v>
      </c>
      <c r="L380">
        <f>VLOOKUP(A380,[1]dataset_2!B:H,3,FALSE)</f>
        <v>0.43</v>
      </c>
      <c r="M380">
        <f>VLOOKUP(A380,[1]dataset_2!B:H,4,FALSE)</f>
        <v>0.19400000000000001</v>
      </c>
      <c r="N380">
        <f>VLOOKUP(A380,[1]dataset_2!B:H,5,FALSE)</f>
        <v>0</v>
      </c>
      <c r="O380">
        <f>VLOOKUP(A380,[1]dataset_2!B:H,6,FALSE)</f>
        <v>5</v>
      </c>
      <c r="P380">
        <f>VLOOKUP(A380,[1]dataset_2!B:H,7,FALSE)</f>
        <v>5</v>
      </c>
      <c r="Q380" t="str">
        <f t="shared" si="15"/>
        <v>Weekday</v>
      </c>
      <c r="R380" t="str">
        <f t="shared" si="16"/>
        <v>Morning</v>
      </c>
      <c r="S380" t="str">
        <f t="shared" si="17"/>
        <v>Low</v>
      </c>
    </row>
    <row r="381" spans="1:19">
      <c r="A381" s="14">
        <v>380</v>
      </c>
      <c r="B381" s="15">
        <v>40560</v>
      </c>
      <c r="C381" s="14">
        <v>1</v>
      </c>
      <c r="D381" s="14">
        <v>0</v>
      </c>
      <c r="E381" s="14">
        <v>1</v>
      </c>
      <c r="F381" s="14">
        <v>7</v>
      </c>
      <c r="G381" s="14" t="b">
        <v>1</v>
      </c>
      <c r="H381" s="14">
        <v>1</v>
      </c>
      <c r="I381" s="14">
        <v>2</v>
      </c>
      <c r="J381" s="14">
        <v>0.16</v>
      </c>
      <c r="K381">
        <f>VLOOKUP(A381,[1]dataset_2!B:H,2,FALSE)</f>
        <v>0.18179999999999999</v>
      </c>
      <c r="L381">
        <f>VLOOKUP(A381,[1]dataset_2!B:H,3,FALSE)</f>
        <v>0.5</v>
      </c>
      <c r="M381">
        <f>VLOOKUP(A381,[1]dataset_2!B:H,4,FALSE)</f>
        <v>0.1343</v>
      </c>
      <c r="N381">
        <f>VLOOKUP(A381,[1]dataset_2!B:H,5,FALSE)</f>
        <v>4</v>
      </c>
      <c r="O381">
        <f>VLOOKUP(A381,[1]dataset_2!B:H,6,FALSE)</f>
        <v>9</v>
      </c>
      <c r="P381">
        <f>VLOOKUP(A381,[1]dataset_2!B:H,7,FALSE)</f>
        <v>13</v>
      </c>
      <c r="Q381" t="str">
        <f t="shared" si="15"/>
        <v>Weekday</v>
      </c>
      <c r="R381" t="str">
        <f t="shared" si="16"/>
        <v>Morning</v>
      </c>
      <c r="S381" t="str">
        <f t="shared" si="17"/>
        <v>Low</v>
      </c>
    </row>
    <row r="382" spans="1:19">
      <c r="A382" s="14">
        <v>381</v>
      </c>
      <c r="B382" s="15">
        <v>40560</v>
      </c>
      <c r="C382" s="14">
        <v>1</v>
      </c>
      <c r="D382" s="14">
        <v>0</v>
      </c>
      <c r="E382" s="14">
        <v>1</v>
      </c>
      <c r="F382" s="14">
        <v>8</v>
      </c>
      <c r="G382" s="14" t="b">
        <v>1</v>
      </c>
      <c r="H382" s="14">
        <v>1</v>
      </c>
      <c r="I382" s="14">
        <v>2</v>
      </c>
      <c r="J382" s="14">
        <v>0.16</v>
      </c>
      <c r="K382">
        <f>VLOOKUP(A382,[1]dataset_2!B:H,2,FALSE)</f>
        <v>0.1515</v>
      </c>
      <c r="L382">
        <f>VLOOKUP(A382,[1]dataset_2!B:H,3,FALSE)</f>
        <v>0.47</v>
      </c>
      <c r="M382">
        <f>VLOOKUP(A382,[1]dataset_2!B:H,4,FALSE)</f>
        <v>0.22389999999999999</v>
      </c>
      <c r="N382">
        <f>VLOOKUP(A382,[1]dataset_2!B:H,5,FALSE)</f>
        <v>3</v>
      </c>
      <c r="O382">
        <f>VLOOKUP(A382,[1]dataset_2!B:H,6,FALSE)</f>
        <v>30</v>
      </c>
      <c r="P382">
        <f>VLOOKUP(A382,[1]dataset_2!B:H,7,FALSE)</f>
        <v>33</v>
      </c>
      <c r="Q382" t="str">
        <f t="shared" si="15"/>
        <v>Weekday</v>
      </c>
      <c r="R382" t="str">
        <f t="shared" si="16"/>
        <v>Morning</v>
      </c>
      <c r="S382" t="str">
        <f t="shared" si="17"/>
        <v>Low</v>
      </c>
    </row>
    <row r="383" spans="1:19">
      <c r="A383" s="14">
        <v>382</v>
      </c>
      <c r="B383" s="15">
        <v>40560</v>
      </c>
      <c r="C383" s="14">
        <v>1</v>
      </c>
      <c r="D383" s="14">
        <v>0</v>
      </c>
      <c r="E383" s="14">
        <v>1</v>
      </c>
      <c r="F383" s="14">
        <v>9</v>
      </c>
      <c r="G383" s="14" t="b">
        <v>1</v>
      </c>
      <c r="H383" s="14">
        <v>1</v>
      </c>
      <c r="I383" s="14">
        <v>2</v>
      </c>
      <c r="J383" s="14">
        <v>0.16</v>
      </c>
      <c r="K383">
        <f>VLOOKUP(A383,[1]dataset_2!B:H,2,FALSE)</f>
        <v>0.1515</v>
      </c>
      <c r="L383">
        <f>VLOOKUP(A383,[1]dataset_2!B:H,3,FALSE)</f>
        <v>0.47</v>
      </c>
      <c r="M383">
        <f>VLOOKUP(A383,[1]dataset_2!B:H,4,FALSE)</f>
        <v>0.22389999999999999</v>
      </c>
      <c r="N383">
        <f>VLOOKUP(A383,[1]dataset_2!B:H,5,FALSE)</f>
        <v>8</v>
      </c>
      <c r="O383">
        <f>VLOOKUP(A383,[1]dataset_2!B:H,6,FALSE)</f>
        <v>39</v>
      </c>
      <c r="P383">
        <f>VLOOKUP(A383,[1]dataset_2!B:H,7,FALSE)</f>
        <v>47</v>
      </c>
      <c r="Q383" t="str">
        <f t="shared" si="15"/>
        <v>Weekday</v>
      </c>
      <c r="R383" t="str">
        <f t="shared" si="16"/>
        <v>Morning</v>
      </c>
      <c r="S383" t="str">
        <f t="shared" si="17"/>
        <v>Low</v>
      </c>
    </row>
    <row r="384" spans="1:19">
      <c r="A384" s="14">
        <v>383</v>
      </c>
      <c r="B384" s="15">
        <v>40560</v>
      </c>
      <c r="C384" s="14">
        <v>1</v>
      </c>
      <c r="D384" s="14">
        <v>0</v>
      </c>
      <c r="E384" s="14">
        <v>1</v>
      </c>
      <c r="F384" s="14">
        <v>10</v>
      </c>
      <c r="G384" s="14" t="b">
        <v>1</v>
      </c>
      <c r="H384" s="14">
        <v>1</v>
      </c>
      <c r="I384" s="14">
        <v>2</v>
      </c>
      <c r="J384" s="14">
        <v>0.16</v>
      </c>
      <c r="K384">
        <f>VLOOKUP(A384,[1]dataset_2!B:H,2,FALSE)</f>
        <v>0.1515</v>
      </c>
      <c r="L384">
        <f>VLOOKUP(A384,[1]dataset_2!B:H,3,FALSE)</f>
        <v>0.5</v>
      </c>
      <c r="M384">
        <f>VLOOKUP(A384,[1]dataset_2!B:H,4,FALSE)</f>
        <v>0.25369999999999998</v>
      </c>
      <c r="N384">
        <f>VLOOKUP(A384,[1]dataset_2!B:H,5,FALSE)</f>
        <v>7</v>
      </c>
      <c r="O384">
        <f>VLOOKUP(A384,[1]dataset_2!B:H,6,FALSE)</f>
        <v>50</v>
      </c>
      <c r="P384">
        <f>VLOOKUP(A384,[1]dataset_2!B:H,7,FALSE)</f>
        <v>57</v>
      </c>
      <c r="Q384" t="str">
        <f t="shared" si="15"/>
        <v>Weekday</v>
      </c>
      <c r="R384" t="str">
        <f t="shared" si="16"/>
        <v>Morning</v>
      </c>
      <c r="S384" t="str">
        <f t="shared" si="17"/>
        <v>Low</v>
      </c>
    </row>
    <row r="385" spans="1:19">
      <c r="A385" s="14">
        <v>384</v>
      </c>
      <c r="B385" s="15">
        <v>40560</v>
      </c>
      <c r="C385" s="14">
        <v>1</v>
      </c>
      <c r="D385" s="14">
        <v>0</v>
      </c>
      <c r="E385" s="14">
        <v>1</v>
      </c>
      <c r="F385" s="14">
        <v>11</v>
      </c>
      <c r="G385" s="14" t="b">
        <v>1</v>
      </c>
      <c r="H385" s="14">
        <v>1</v>
      </c>
      <c r="I385" s="14">
        <v>2</v>
      </c>
      <c r="J385" s="14">
        <v>0.16</v>
      </c>
      <c r="K385">
        <f>VLOOKUP(A385,[1]dataset_2!B:H,2,FALSE)</f>
        <v>0.1515</v>
      </c>
      <c r="L385">
        <f>VLOOKUP(A385,[1]dataset_2!B:H,3,FALSE)</f>
        <v>0.55000000000000004</v>
      </c>
      <c r="M385">
        <f>VLOOKUP(A385,[1]dataset_2!B:H,4,FALSE)</f>
        <v>0.19400000000000001</v>
      </c>
      <c r="N385">
        <f>VLOOKUP(A385,[1]dataset_2!B:H,5,FALSE)</f>
        <v>9</v>
      </c>
      <c r="O385">
        <f>VLOOKUP(A385,[1]dataset_2!B:H,6,FALSE)</f>
        <v>55</v>
      </c>
      <c r="P385">
        <f>VLOOKUP(A385,[1]dataset_2!B:H,7,FALSE)</f>
        <v>64</v>
      </c>
      <c r="Q385" t="str">
        <f t="shared" si="15"/>
        <v>Weekday</v>
      </c>
      <c r="R385" t="str">
        <f t="shared" si="16"/>
        <v>Morning</v>
      </c>
      <c r="S385" t="str">
        <f t="shared" si="17"/>
        <v>Low</v>
      </c>
    </row>
    <row r="386" spans="1:19">
      <c r="A386" s="14">
        <v>385</v>
      </c>
      <c r="B386" s="15">
        <v>40560</v>
      </c>
      <c r="C386" s="14">
        <v>1</v>
      </c>
      <c r="D386" s="14">
        <v>0</v>
      </c>
      <c r="E386" s="14">
        <v>1</v>
      </c>
      <c r="F386" s="14">
        <v>12</v>
      </c>
      <c r="G386" s="14" t="b">
        <v>1</v>
      </c>
      <c r="H386" s="14">
        <v>1</v>
      </c>
      <c r="I386" s="14">
        <v>2</v>
      </c>
      <c r="J386" s="14">
        <v>0.18</v>
      </c>
      <c r="K386">
        <f>VLOOKUP(A386,[1]dataset_2!B:H,2,FALSE)</f>
        <v>0.19700000000000001</v>
      </c>
      <c r="L386">
        <f>VLOOKUP(A386,[1]dataset_2!B:H,3,FALSE)</f>
        <v>0.47</v>
      </c>
      <c r="M386">
        <f>VLOOKUP(A386,[1]dataset_2!B:H,4,FALSE)</f>
        <v>0.1343</v>
      </c>
      <c r="N386">
        <f>VLOOKUP(A386,[1]dataset_2!B:H,5,FALSE)</f>
        <v>10</v>
      </c>
      <c r="O386">
        <f>VLOOKUP(A386,[1]dataset_2!B:H,6,FALSE)</f>
        <v>70</v>
      </c>
      <c r="P386">
        <f>VLOOKUP(A386,[1]dataset_2!B:H,7,FALSE)</f>
        <v>80</v>
      </c>
      <c r="Q386" t="str">
        <f t="shared" si="15"/>
        <v>Weekday</v>
      </c>
      <c r="R386" t="str">
        <f t="shared" si="16"/>
        <v>Afternoon</v>
      </c>
      <c r="S386" t="str">
        <f t="shared" si="17"/>
        <v>Low</v>
      </c>
    </row>
    <row r="387" spans="1:19">
      <c r="A387" s="14">
        <v>386</v>
      </c>
      <c r="B387" s="15">
        <v>40560</v>
      </c>
      <c r="C387" s="14">
        <v>1</v>
      </c>
      <c r="D387" s="14">
        <v>0</v>
      </c>
      <c r="E387" s="14">
        <v>1</v>
      </c>
      <c r="F387" s="14">
        <v>13</v>
      </c>
      <c r="G387" s="14" t="b">
        <v>1</v>
      </c>
      <c r="H387" s="14">
        <v>1</v>
      </c>
      <c r="I387" s="14">
        <v>2</v>
      </c>
      <c r="J387" s="14">
        <v>0.18</v>
      </c>
      <c r="K387">
        <f>VLOOKUP(A387,[1]dataset_2!B:H,2,FALSE)</f>
        <v>0.19700000000000001</v>
      </c>
      <c r="L387">
        <f>VLOOKUP(A387,[1]dataset_2!B:H,3,FALSE)</f>
        <v>0.47</v>
      </c>
      <c r="M387">
        <f>VLOOKUP(A387,[1]dataset_2!B:H,4,FALSE)</f>
        <v>0.1343</v>
      </c>
      <c r="N387">
        <f>VLOOKUP(A387,[1]dataset_2!B:H,5,FALSE)</f>
        <v>13</v>
      </c>
      <c r="O387">
        <f>VLOOKUP(A387,[1]dataset_2!B:H,6,FALSE)</f>
        <v>80</v>
      </c>
      <c r="P387">
        <f>VLOOKUP(A387,[1]dataset_2!B:H,7,FALSE)</f>
        <v>93</v>
      </c>
      <c r="Q387" t="str">
        <f t="shared" ref="Q387:Q450" si="18">IF(OR(H387=0,H387=6),"Weekend","Weekday")</f>
        <v>Weekday</v>
      </c>
      <c r="R387" t="str">
        <f t="shared" ref="R387:R450" si="19">IF(F387&lt;12,"Morning",IF(F387&lt;18,"Afternoon","Evening"))</f>
        <v>Afternoon</v>
      </c>
      <c r="S387" t="str">
        <f t="shared" ref="S387:S450" si="20">IF(P387&gt;100,"High","Low")</f>
        <v>Low</v>
      </c>
    </row>
    <row r="388" spans="1:19">
      <c r="A388" s="14">
        <v>387</v>
      </c>
      <c r="B388" s="15">
        <v>40560</v>
      </c>
      <c r="C388" s="14">
        <v>1</v>
      </c>
      <c r="D388" s="14">
        <v>0</v>
      </c>
      <c r="E388" s="14">
        <v>1</v>
      </c>
      <c r="F388" s="14">
        <v>14</v>
      </c>
      <c r="G388" s="14" t="b">
        <v>1</v>
      </c>
      <c r="H388" s="14">
        <v>1</v>
      </c>
      <c r="I388" s="14">
        <v>2</v>
      </c>
      <c r="J388" s="14">
        <v>0.18</v>
      </c>
      <c r="K388">
        <f>VLOOKUP(A388,[1]dataset_2!B:H,2,FALSE)</f>
        <v>0.21210000000000001</v>
      </c>
      <c r="L388">
        <f>VLOOKUP(A388,[1]dataset_2!B:H,3,FALSE)</f>
        <v>0.43</v>
      </c>
      <c r="M388">
        <f>VLOOKUP(A388,[1]dataset_2!B:H,4,FALSE)</f>
        <v>0.1045</v>
      </c>
      <c r="N388">
        <f>VLOOKUP(A388,[1]dataset_2!B:H,5,FALSE)</f>
        <v>12</v>
      </c>
      <c r="O388">
        <f>VLOOKUP(A388,[1]dataset_2!B:H,6,FALSE)</f>
        <v>74</v>
      </c>
      <c r="P388">
        <f>VLOOKUP(A388,[1]dataset_2!B:H,7,FALSE)</f>
        <v>86</v>
      </c>
      <c r="Q388" t="str">
        <f t="shared" si="18"/>
        <v>Weekday</v>
      </c>
      <c r="R388" t="str">
        <f t="shared" si="19"/>
        <v>Afternoon</v>
      </c>
      <c r="S388" t="str">
        <f t="shared" si="20"/>
        <v>Low</v>
      </c>
    </row>
    <row r="389" spans="1:19">
      <c r="A389" s="14">
        <v>388</v>
      </c>
      <c r="B389" s="15">
        <v>40560</v>
      </c>
      <c r="C389" s="14">
        <v>1</v>
      </c>
      <c r="D389" s="14">
        <v>0</v>
      </c>
      <c r="E389" s="14">
        <v>1</v>
      </c>
      <c r="F389" s="14">
        <v>15</v>
      </c>
      <c r="G389" s="14" t="b">
        <v>1</v>
      </c>
      <c r="H389" s="14">
        <v>1</v>
      </c>
      <c r="I389" s="14">
        <v>2</v>
      </c>
      <c r="J389" s="14">
        <v>0.2</v>
      </c>
      <c r="K389">
        <f>VLOOKUP(A389,[1]dataset_2!B:H,2,FALSE)</f>
        <v>0.21210000000000001</v>
      </c>
      <c r="L389">
        <f>VLOOKUP(A389,[1]dataset_2!B:H,3,FALSE)</f>
        <v>0.47</v>
      </c>
      <c r="M389">
        <f>VLOOKUP(A389,[1]dataset_2!B:H,4,FALSE)</f>
        <v>0.16420000000000001</v>
      </c>
      <c r="N389">
        <f>VLOOKUP(A389,[1]dataset_2!B:H,5,FALSE)</f>
        <v>21</v>
      </c>
      <c r="O389">
        <f>VLOOKUP(A389,[1]dataset_2!B:H,6,FALSE)</f>
        <v>72</v>
      </c>
      <c r="P389">
        <f>VLOOKUP(A389,[1]dataset_2!B:H,7,FALSE)</f>
        <v>93</v>
      </c>
      <c r="Q389" t="str">
        <f t="shared" si="18"/>
        <v>Weekday</v>
      </c>
      <c r="R389" t="str">
        <f t="shared" si="19"/>
        <v>Afternoon</v>
      </c>
      <c r="S389" t="str">
        <f t="shared" si="20"/>
        <v>Low</v>
      </c>
    </row>
    <row r="390" spans="1:19">
      <c r="A390" s="14">
        <v>389</v>
      </c>
      <c r="B390" s="15">
        <v>40560</v>
      </c>
      <c r="C390" s="14">
        <v>1</v>
      </c>
      <c r="D390" s="14">
        <v>0</v>
      </c>
      <c r="E390" s="14">
        <v>1</v>
      </c>
      <c r="F390" s="14">
        <v>16</v>
      </c>
      <c r="G390" s="14" t="b">
        <v>1</v>
      </c>
      <c r="H390" s="14">
        <v>1</v>
      </c>
      <c r="I390" s="14">
        <v>2</v>
      </c>
      <c r="J390" s="14">
        <v>0.2</v>
      </c>
      <c r="K390">
        <f>VLOOKUP(A390,[1]dataset_2!B:H,2,FALSE)</f>
        <v>0.21210000000000001</v>
      </c>
      <c r="L390">
        <f>VLOOKUP(A390,[1]dataset_2!B:H,3,FALSE)</f>
        <v>0.47</v>
      </c>
      <c r="M390">
        <f>VLOOKUP(A390,[1]dataset_2!B:H,4,FALSE)</f>
        <v>0.16420000000000001</v>
      </c>
      <c r="N390">
        <f>VLOOKUP(A390,[1]dataset_2!B:H,5,FALSE)</f>
        <v>6</v>
      </c>
      <c r="O390">
        <f>VLOOKUP(A390,[1]dataset_2!B:H,6,FALSE)</f>
        <v>76</v>
      </c>
      <c r="P390">
        <f>VLOOKUP(A390,[1]dataset_2!B:H,7,FALSE)</f>
        <v>82</v>
      </c>
      <c r="Q390" t="str">
        <f t="shared" si="18"/>
        <v>Weekday</v>
      </c>
      <c r="R390" t="str">
        <f t="shared" si="19"/>
        <v>Afternoon</v>
      </c>
      <c r="S390" t="str">
        <f t="shared" si="20"/>
        <v>Low</v>
      </c>
    </row>
    <row r="391" spans="1:19">
      <c r="A391" s="14">
        <v>390</v>
      </c>
      <c r="B391" s="15">
        <v>40560</v>
      </c>
      <c r="C391" s="14">
        <v>1</v>
      </c>
      <c r="D391" s="14">
        <v>0</v>
      </c>
      <c r="E391" s="14">
        <v>1</v>
      </c>
      <c r="F391" s="14">
        <v>17</v>
      </c>
      <c r="G391" s="14" t="b">
        <v>1</v>
      </c>
      <c r="H391" s="14">
        <v>1</v>
      </c>
      <c r="I391" s="14">
        <v>1</v>
      </c>
      <c r="J391" s="14">
        <v>0.2</v>
      </c>
      <c r="K391">
        <f>VLOOKUP(A391,[1]dataset_2!B:H,2,FALSE)</f>
        <v>0.19700000000000001</v>
      </c>
      <c r="L391">
        <f>VLOOKUP(A391,[1]dataset_2!B:H,3,FALSE)</f>
        <v>0.51</v>
      </c>
      <c r="M391">
        <f>VLOOKUP(A391,[1]dataset_2!B:H,4,FALSE)</f>
        <v>0.19400000000000001</v>
      </c>
      <c r="N391">
        <f>VLOOKUP(A391,[1]dataset_2!B:H,5,FALSE)</f>
        <v>4</v>
      </c>
      <c r="O391">
        <f>VLOOKUP(A391,[1]dataset_2!B:H,6,FALSE)</f>
        <v>67</v>
      </c>
      <c r="P391">
        <f>VLOOKUP(A391,[1]dataset_2!B:H,7,FALSE)</f>
        <v>71</v>
      </c>
      <c r="Q391" t="str">
        <f t="shared" si="18"/>
        <v>Weekday</v>
      </c>
      <c r="R391" t="str">
        <f t="shared" si="19"/>
        <v>Afternoon</v>
      </c>
      <c r="S391" t="str">
        <f t="shared" si="20"/>
        <v>Low</v>
      </c>
    </row>
    <row r="392" spans="1:19">
      <c r="A392" s="14">
        <v>391</v>
      </c>
      <c r="B392" s="15">
        <v>40560</v>
      </c>
      <c r="C392" s="14">
        <v>1</v>
      </c>
      <c r="D392" s="14">
        <v>0</v>
      </c>
      <c r="E392" s="14">
        <v>1</v>
      </c>
      <c r="F392" s="14">
        <v>18</v>
      </c>
      <c r="G392" s="14" t="b">
        <v>1</v>
      </c>
      <c r="H392" s="14">
        <v>1</v>
      </c>
      <c r="I392" s="14">
        <v>2</v>
      </c>
      <c r="J392" s="14">
        <v>0.18</v>
      </c>
      <c r="K392">
        <f>VLOOKUP(A392,[1]dataset_2!B:H,2,FALSE)</f>
        <v>0.16669999999999999</v>
      </c>
      <c r="L392">
        <f>VLOOKUP(A392,[1]dataset_2!B:H,3,FALSE)</f>
        <v>0.55000000000000004</v>
      </c>
      <c r="M392">
        <f>VLOOKUP(A392,[1]dataset_2!B:H,4,FALSE)</f>
        <v>0.25369999999999998</v>
      </c>
      <c r="N392">
        <f>VLOOKUP(A392,[1]dataset_2!B:H,5,FALSE)</f>
        <v>7</v>
      </c>
      <c r="O392">
        <f>VLOOKUP(A392,[1]dataset_2!B:H,6,FALSE)</f>
        <v>85</v>
      </c>
      <c r="P392">
        <f>VLOOKUP(A392,[1]dataset_2!B:H,7,FALSE)</f>
        <v>92</v>
      </c>
      <c r="Q392" t="str">
        <f t="shared" si="18"/>
        <v>Weekday</v>
      </c>
      <c r="R392" t="str">
        <f t="shared" si="19"/>
        <v>Evening</v>
      </c>
      <c r="S392" t="str">
        <f t="shared" si="20"/>
        <v>Low</v>
      </c>
    </row>
    <row r="393" spans="1:19">
      <c r="A393" s="14">
        <v>392</v>
      </c>
      <c r="B393" s="15">
        <v>40560</v>
      </c>
      <c r="C393" s="14">
        <v>1</v>
      </c>
      <c r="D393" s="14">
        <v>0</v>
      </c>
      <c r="E393" s="14">
        <v>1</v>
      </c>
      <c r="F393" s="14">
        <v>19</v>
      </c>
      <c r="G393" s="14" t="b">
        <v>1</v>
      </c>
      <c r="H393" s="14">
        <v>1</v>
      </c>
      <c r="I393" s="14">
        <v>3</v>
      </c>
      <c r="J393" s="14">
        <v>0.18</v>
      </c>
      <c r="K393">
        <f>VLOOKUP(A393,[1]dataset_2!B:H,2,FALSE)</f>
        <v>0.18179999999999999</v>
      </c>
      <c r="L393">
        <f>VLOOKUP(A393,[1]dataset_2!B:H,3,FALSE)</f>
        <v>0.59</v>
      </c>
      <c r="M393">
        <f>VLOOKUP(A393,[1]dataset_2!B:H,4,FALSE)</f>
        <v>0.19400000000000001</v>
      </c>
      <c r="N393">
        <f>VLOOKUP(A393,[1]dataset_2!B:H,5,FALSE)</f>
        <v>2</v>
      </c>
      <c r="O393">
        <f>VLOOKUP(A393,[1]dataset_2!B:H,6,FALSE)</f>
        <v>58</v>
      </c>
      <c r="P393">
        <f>VLOOKUP(A393,[1]dataset_2!B:H,7,FALSE)</f>
        <v>60</v>
      </c>
      <c r="Q393" t="str">
        <f t="shared" si="18"/>
        <v>Weekday</v>
      </c>
      <c r="R393" t="str">
        <f t="shared" si="19"/>
        <v>Evening</v>
      </c>
      <c r="S393" t="str">
        <f t="shared" si="20"/>
        <v>Low</v>
      </c>
    </row>
    <row r="394" spans="1:19">
      <c r="A394" s="14">
        <v>393</v>
      </c>
      <c r="B394" s="15">
        <v>40560</v>
      </c>
      <c r="C394" s="14">
        <v>1</v>
      </c>
      <c r="D394" s="14">
        <v>0</v>
      </c>
      <c r="E394" s="14">
        <v>1</v>
      </c>
      <c r="F394" s="14">
        <v>20</v>
      </c>
      <c r="G394" s="14" t="b">
        <v>1</v>
      </c>
      <c r="H394" s="14">
        <v>1</v>
      </c>
      <c r="I394" s="14">
        <v>3</v>
      </c>
      <c r="J394" s="14">
        <v>0.16</v>
      </c>
      <c r="K394">
        <f>VLOOKUP(A394,[1]dataset_2!B:H,2,FALSE)</f>
        <v>0.1515</v>
      </c>
      <c r="L394">
        <f>VLOOKUP(A394,[1]dataset_2!B:H,3,FALSE)</f>
        <v>0.8</v>
      </c>
      <c r="M394">
        <f>VLOOKUP(A394,[1]dataset_2!B:H,4,FALSE)</f>
        <v>0.19400000000000001</v>
      </c>
      <c r="N394">
        <f>VLOOKUP(A394,[1]dataset_2!B:H,5,FALSE)</f>
        <v>4</v>
      </c>
      <c r="O394">
        <f>VLOOKUP(A394,[1]dataset_2!B:H,6,FALSE)</f>
        <v>29</v>
      </c>
      <c r="P394">
        <f>VLOOKUP(A394,[1]dataset_2!B:H,7,FALSE)</f>
        <v>33</v>
      </c>
      <c r="Q394" t="str">
        <f t="shared" si="18"/>
        <v>Weekday</v>
      </c>
      <c r="R394" t="str">
        <f t="shared" si="19"/>
        <v>Evening</v>
      </c>
      <c r="S394" t="str">
        <f t="shared" si="20"/>
        <v>Low</v>
      </c>
    </row>
    <row r="395" spans="1:19">
      <c r="A395" s="14">
        <v>394</v>
      </c>
      <c r="B395" s="15">
        <v>40560</v>
      </c>
      <c r="C395" s="14">
        <v>1</v>
      </c>
      <c r="D395" s="14">
        <v>0</v>
      </c>
      <c r="E395" s="14">
        <v>1</v>
      </c>
      <c r="F395" s="14">
        <v>21</v>
      </c>
      <c r="G395" s="14" t="b">
        <v>1</v>
      </c>
      <c r="H395" s="14">
        <v>1</v>
      </c>
      <c r="I395" s="14">
        <v>3</v>
      </c>
      <c r="J395" s="14">
        <v>0.16</v>
      </c>
      <c r="K395">
        <f>VLOOKUP(A395,[1]dataset_2!B:H,2,FALSE)</f>
        <v>0.1515</v>
      </c>
      <c r="L395">
        <f>VLOOKUP(A395,[1]dataset_2!B:H,3,FALSE)</f>
        <v>0.8</v>
      </c>
      <c r="M395">
        <f>VLOOKUP(A395,[1]dataset_2!B:H,4,FALSE)</f>
        <v>0.19400000000000001</v>
      </c>
      <c r="N395">
        <f>VLOOKUP(A395,[1]dataset_2!B:H,5,FALSE)</f>
        <v>3</v>
      </c>
      <c r="O395">
        <f>VLOOKUP(A395,[1]dataset_2!B:H,6,FALSE)</f>
        <v>24</v>
      </c>
      <c r="P395">
        <f>VLOOKUP(A395,[1]dataset_2!B:H,7,FALSE)</f>
        <v>27</v>
      </c>
      <c r="Q395" t="str">
        <f t="shared" si="18"/>
        <v>Weekday</v>
      </c>
      <c r="R395" t="str">
        <f t="shared" si="19"/>
        <v>Evening</v>
      </c>
      <c r="S395" t="str">
        <f t="shared" si="20"/>
        <v>Low</v>
      </c>
    </row>
    <row r="396" spans="1:19">
      <c r="A396" s="14">
        <v>395</v>
      </c>
      <c r="B396" s="15">
        <v>40560</v>
      </c>
      <c r="C396" s="14">
        <v>1</v>
      </c>
      <c r="D396" s="14">
        <v>0</v>
      </c>
      <c r="E396" s="14">
        <v>1</v>
      </c>
      <c r="F396" s="14">
        <v>22</v>
      </c>
      <c r="G396" s="14" t="b">
        <v>1</v>
      </c>
      <c r="H396" s="14">
        <v>1</v>
      </c>
      <c r="I396" s="14">
        <v>3</v>
      </c>
      <c r="J396" s="14">
        <v>0.14000000000000001</v>
      </c>
      <c r="K396">
        <f>VLOOKUP(A396,[1]dataset_2!B:H,2,FALSE)</f>
        <v>0.1212</v>
      </c>
      <c r="L396">
        <f>VLOOKUP(A396,[1]dataset_2!B:H,3,FALSE)</f>
        <v>0.93</v>
      </c>
      <c r="M396">
        <f>VLOOKUP(A396,[1]dataset_2!B:H,4,FALSE)</f>
        <v>0.25369999999999998</v>
      </c>
      <c r="N396">
        <f>VLOOKUP(A396,[1]dataset_2!B:H,5,FALSE)</f>
        <v>0</v>
      </c>
      <c r="O396">
        <f>VLOOKUP(A396,[1]dataset_2!B:H,6,FALSE)</f>
        <v>13</v>
      </c>
      <c r="P396">
        <f>VLOOKUP(A396,[1]dataset_2!B:H,7,FALSE)</f>
        <v>13</v>
      </c>
      <c r="Q396" t="str">
        <f t="shared" si="18"/>
        <v>Weekday</v>
      </c>
      <c r="R396" t="str">
        <f t="shared" si="19"/>
        <v>Evening</v>
      </c>
      <c r="S396" t="str">
        <f t="shared" si="20"/>
        <v>Low</v>
      </c>
    </row>
    <row r="397" spans="1:19">
      <c r="A397" s="14">
        <v>396</v>
      </c>
      <c r="B397" s="15">
        <v>40560</v>
      </c>
      <c r="C397" s="14">
        <v>1</v>
      </c>
      <c r="D397" s="14">
        <v>0</v>
      </c>
      <c r="E397" s="14">
        <v>1</v>
      </c>
      <c r="F397" s="14">
        <v>23</v>
      </c>
      <c r="G397" s="14" t="b">
        <v>1</v>
      </c>
      <c r="H397" s="14">
        <v>1</v>
      </c>
      <c r="I397" s="14">
        <v>3</v>
      </c>
      <c r="J397" s="14">
        <v>0.16</v>
      </c>
      <c r="K397">
        <f>VLOOKUP(A397,[1]dataset_2!B:H,2,FALSE)</f>
        <v>0.13639999999999999</v>
      </c>
      <c r="L397">
        <f>VLOOKUP(A397,[1]dataset_2!B:H,3,FALSE)</f>
        <v>0.86</v>
      </c>
      <c r="M397">
        <f>VLOOKUP(A397,[1]dataset_2!B:H,4,FALSE)</f>
        <v>0.28360000000000002</v>
      </c>
      <c r="N397">
        <f>VLOOKUP(A397,[1]dataset_2!B:H,5,FALSE)</f>
        <v>1</v>
      </c>
      <c r="O397">
        <f>VLOOKUP(A397,[1]dataset_2!B:H,6,FALSE)</f>
        <v>3</v>
      </c>
      <c r="P397">
        <f>VLOOKUP(A397,[1]dataset_2!B:H,7,FALSE)</f>
        <v>4</v>
      </c>
      <c r="Q397" t="str">
        <f t="shared" si="18"/>
        <v>Weekday</v>
      </c>
      <c r="R397" t="str">
        <f t="shared" si="19"/>
        <v>Evening</v>
      </c>
      <c r="S397" t="str">
        <f t="shared" si="20"/>
        <v>Low</v>
      </c>
    </row>
    <row r="398" spans="1:19">
      <c r="A398" s="14">
        <v>397</v>
      </c>
      <c r="B398" s="15">
        <v>40561</v>
      </c>
      <c r="C398" s="14">
        <v>1</v>
      </c>
      <c r="D398" s="14">
        <v>0</v>
      </c>
      <c r="E398" s="14">
        <v>1</v>
      </c>
      <c r="F398" s="14">
        <v>12</v>
      </c>
      <c r="G398" s="14" t="b">
        <v>0</v>
      </c>
      <c r="H398" s="14">
        <v>2</v>
      </c>
      <c r="I398" s="14">
        <v>2</v>
      </c>
      <c r="J398" s="14">
        <v>0.2</v>
      </c>
      <c r="K398">
        <f>VLOOKUP(A398,[1]dataset_2!B:H,2,FALSE)</f>
        <v>0.18179999999999999</v>
      </c>
      <c r="L398">
        <f>VLOOKUP(A398,[1]dataset_2!B:H,3,FALSE)</f>
        <v>0.86</v>
      </c>
      <c r="M398">
        <f>VLOOKUP(A398,[1]dataset_2!B:H,4,FALSE)</f>
        <v>0.32840000000000003</v>
      </c>
      <c r="N398">
        <f>VLOOKUP(A398,[1]dataset_2!B:H,5,FALSE)</f>
        <v>0</v>
      </c>
      <c r="O398">
        <f>VLOOKUP(A398,[1]dataset_2!B:H,6,FALSE)</f>
        <v>3</v>
      </c>
      <c r="P398">
        <f>VLOOKUP(A398,[1]dataset_2!B:H,7,FALSE)</f>
        <v>3</v>
      </c>
      <c r="Q398" t="str">
        <f t="shared" si="18"/>
        <v>Weekday</v>
      </c>
      <c r="R398" t="str">
        <f t="shared" si="19"/>
        <v>Afternoon</v>
      </c>
      <c r="S398" t="str">
        <f t="shared" si="20"/>
        <v>Low</v>
      </c>
    </row>
    <row r="399" spans="1:19">
      <c r="A399" s="14">
        <v>398</v>
      </c>
      <c r="B399" s="15">
        <v>40561</v>
      </c>
      <c r="C399" s="14">
        <v>1</v>
      </c>
      <c r="D399" s="14">
        <v>0</v>
      </c>
      <c r="E399" s="14">
        <v>1</v>
      </c>
      <c r="F399" s="14">
        <v>13</v>
      </c>
      <c r="G399" s="14" t="b">
        <v>0</v>
      </c>
      <c r="H399" s="14">
        <v>2</v>
      </c>
      <c r="I399" s="14">
        <v>2</v>
      </c>
      <c r="J399" s="14">
        <v>0.2</v>
      </c>
      <c r="K399">
        <f>VLOOKUP(A399,[1]dataset_2!B:H,2,FALSE)</f>
        <v>0.19700000000000001</v>
      </c>
      <c r="L399">
        <f>VLOOKUP(A399,[1]dataset_2!B:H,3,FALSE)</f>
        <v>0.86</v>
      </c>
      <c r="M399">
        <f>VLOOKUP(A399,[1]dataset_2!B:H,4,FALSE)</f>
        <v>0.22389999999999999</v>
      </c>
      <c r="N399">
        <f>VLOOKUP(A399,[1]dataset_2!B:H,5,FALSE)</f>
        <v>0</v>
      </c>
      <c r="O399">
        <f>VLOOKUP(A399,[1]dataset_2!B:H,6,FALSE)</f>
        <v>22</v>
      </c>
      <c r="P399">
        <f>VLOOKUP(A399,[1]dataset_2!B:H,7,FALSE)</f>
        <v>22</v>
      </c>
      <c r="Q399" t="str">
        <f t="shared" si="18"/>
        <v>Weekday</v>
      </c>
      <c r="R399" t="str">
        <f t="shared" si="19"/>
        <v>Afternoon</v>
      </c>
      <c r="S399" t="str">
        <f t="shared" si="20"/>
        <v>Low</v>
      </c>
    </row>
    <row r="400" spans="1:19">
      <c r="A400" s="14">
        <v>399</v>
      </c>
      <c r="B400" s="15">
        <v>40561</v>
      </c>
      <c r="C400" s="14">
        <v>1</v>
      </c>
      <c r="D400" s="14">
        <v>0</v>
      </c>
      <c r="E400" s="14">
        <v>1</v>
      </c>
      <c r="F400" s="14">
        <v>14</v>
      </c>
      <c r="G400" s="14" t="b">
        <v>0</v>
      </c>
      <c r="H400" s="14">
        <v>2</v>
      </c>
      <c r="I400" s="14">
        <v>2</v>
      </c>
      <c r="J400" s="14">
        <v>0.22</v>
      </c>
      <c r="K400">
        <f>VLOOKUP(A400,[1]dataset_2!B:H,2,FALSE)</f>
        <v>0.2273</v>
      </c>
      <c r="L400">
        <f>VLOOKUP(A400,[1]dataset_2!B:H,3,FALSE)</f>
        <v>0.8</v>
      </c>
      <c r="M400">
        <f>VLOOKUP(A400,[1]dataset_2!B:H,4,FALSE)</f>
        <v>0.16420000000000001</v>
      </c>
      <c r="N400">
        <f>VLOOKUP(A400,[1]dataset_2!B:H,5,FALSE)</f>
        <v>2</v>
      </c>
      <c r="O400">
        <f>VLOOKUP(A400,[1]dataset_2!B:H,6,FALSE)</f>
        <v>26</v>
      </c>
      <c r="P400">
        <f>VLOOKUP(A400,[1]dataset_2!B:H,7,FALSE)</f>
        <v>28</v>
      </c>
      <c r="Q400" t="str">
        <f t="shared" si="18"/>
        <v>Weekday</v>
      </c>
      <c r="R400" t="str">
        <f t="shared" si="19"/>
        <v>Afternoon</v>
      </c>
      <c r="S400" t="str">
        <f t="shared" si="20"/>
        <v>Low</v>
      </c>
    </row>
    <row r="401" spans="1:19">
      <c r="A401" s="14">
        <v>400</v>
      </c>
      <c r="B401" s="15">
        <v>40561</v>
      </c>
      <c r="C401" s="14">
        <v>1</v>
      </c>
      <c r="D401" s="14">
        <v>0</v>
      </c>
      <c r="E401" s="14">
        <v>1</v>
      </c>
      <c r="F401" s="14">
        <v>15</v>
      </c>
      <c r="G401" s="14" t="b">
        <v>0</v>
      </c>
      <c r="H401" s="14">
        <v>2</v>
      </c>
      <c r="I401" s="14">
        <v>2</v>
      </c>
      <c r="J401" s="14">
        <v>0.22</v>
      </c>
      <c r="K401">
        <f>VLOOKUP(A401,[1]dataset_2!B:H,2,FALSE)</f>
        <v>0.2273</v>
      </c>
      <c r="L401">
        <f>VLOOKUP(A401,[1]dataset_2!B:H,3,FALSE)</f>
        <v>0.87</v>
      </c>
      <c r="M401">
        <f>VLOOKUP(A401,[1]dataset_2!B:H,4,FALSE)</f>
        <v>0.16420000000000001</v>
      </c>
      <c r="N401">
        <f>VLOOKUP(A401,[1]dataset_2!B:H,5,FALSE)</f>
        <v>3</v>
      </c>
      <c r="O401">
        <f>VLOOKUP(A401,[1]dataset_2!B:H,6,FALSE)</f>
        <v>32</v>
      </c>
      <c r="P401">
        <f>VLOOKUP(A401,[1]dataset_2!B:H,7,FALSE)</f>
        <v>35</v>
      </c>
      <c r="Q401" t="str">
        <f t="shared" si="18"/>
        <v>Weekday</v>
      </c>
      <c r="R401" t="str">
        <f t="shared" si="19"/>
        <v>Afternoon</v>
      </c>
      <c r="S401" t="str">
        <f t="shared" si="20"/>
        <v>Low</v>
      </c>
    </row>
    <row r="402" spans="1:19">
      <c r="A402" s="14">
        <v>401</v>
      </c>
      <c r="B402" s="15">
        <v>40561</v>
      </c>
      <c r="C402" s="14">
        <v>1</v>
      </c>
      <c r="D402" s="14">
        <v>0</v>
      </c>
      <c r="E402" s="14">
        <v>1</v>
      </c>
      <c r="F402" s="14">
        <v>16</v>
      </c>
      <c r="G402" s="14" t="b">
        <v>0</v>
      </c>
      <c r="H402" s="14">
        <v>2</v>
      </c>
      <c r="I402" s="14">
        <v>2</v>
      </c>
      <c r="J402" s="14">
        <v>0.22</v>
      </c>
      <c r="K402">
        <f>VLOOKUP(A402,[1]dataset_2!B:H,2,FALSE)</f>
        <v>0.2273</v>
      </c>
      <c r="L402">
        <f>VLOOKUP(A402,[1]dataset_2!B:H,3,FALSE)</f>
        <v>0.87</v>
      </c>
      <c r="M402">
        <f>VLOOKUP(A402,[1]dataset_2!B:H,4,FALSE)</f>
        <v>0.19400000000000001</v>
      </c>
      <c r="N402">
        <f>VLOOKUP(A402,[1]dataset_2!B:H,5,FALSE)</f>
        <v>0</v>
      </c>
      <c r="O402">
        <f>VLOOKUP(A402,[1]dataset_2!B:H,6,FALSE)</f>
        <v>61</v>
      </c>
      <c r="P402">
        <f>VLOOKUP(A402,[1]dataset_2!B:H,7,FALSE)</f>
        <v>61</v>
      </c>
      <c r="Q402" t="str">
        <f t="shared" si="18"/>
        <v>Weekday</v>
      </c>
      <c r="R402" t="str">
        <f t="shared" si="19"/>
        <v>Afternoon</v>
      </c>
      <c r="S402" t="str">
        <f t="shared" si="20"/>
        <v>Low</v>
      </c>
    </row>
    <row r="403" spans="1:19">
      <c r="A403" s="14">
        <v>402</v>
      </c>
      <c r="B403" s="15">
        <v>40561</v>
      </c>
      <c r="C403" s="14">
        <v>1</v>
      </c>
      <c r="D403" s="14">
        <v>0</v>
      </c>
      <c r="E403" s="14">
        <v>1</v>
      </c>
      <c r="F403" s="14">
        <v>17</v>
      </c>
      <c r="G403" s="14" t="b">
        <v>0</v>
      </c>
      <c r="H403" s="14">
        <v>2</v>
      </c>
      <c r="I403" s="14">
        <v>2</v>
      </c>
      <c r="J403" s="14">
        <v>0.22</v>
      </c>
      <c r="K403">
        <f>VLOOKUP(A403,[1]dataset_2!B:H,2,FALSE)</f>
        <v>0.2273</v>
      </c>
      <c r="L403">
        <f>VLOOKUP(A403,[1]dataset_2!B:H,3,FALSE)</f>
        <v>0.82</v>
      </c>
      <c r="M403">
        <f>VLOOKUP(A403,[1]dataset_2!B:H,4,FALSE)</f>
        <v>0.19400000000000001</v>
      </c>
      <c r="N403">
        <f>VLOOKUP(A403,[1]dataset_2!B:H,5,FALSE)</f>
        <v>1</v>
      </c>
      <c r="O403">
        <f>VLOOKUP(A403,[1]dataset_2!B:H,6,FALSE)</f>
        <v>124</v>
      </c>
      <c r="P403">
        <f>VLOOKUP(A403,[1]dataset_2!B:H,7,FALSE)</f>
        <v>125</v>
      </c>
      <c r="Q403" t="str">
        <f t="shared" si="18"/>
        <v>Weekday</v>
      </c>
      <c r="R403" t="str">
        <f t="shared" si="19"/>
        <v>Afternoon</v>
      </c>
      <c r="S403" t="str">
        <f t="shared" si="20"/>
        <v>High</v>
      </c>
    </row>
    <row r="404" spans="1:19">
      <c r="A404" s="14">
        <v>403</v>
      </c>
      <c r="B404" s="15">
        <v>40561</v>
      </c>
      <c r="C404" s="14">
        <v>1</v>
      </c>
      <c r="D404" s="14">
        <v>0</v>
      </c>
      <c r="E404" s="14">
        <v>1</v>
      </c>
      <c r="F404" s="14">
        <v>18</v>
      </c>
      <c r="G404" s="14" t="b">
        <v>0</v>
      </c>
      <c r="H404" s="14">
        <v>2</v>
      </c>
      <c r="I404" s="14">
        <v>2</v>
      </c>
      <c r="J404" s="14">
        <v>0.22</v>
      </c>
      <c r="K404">
        <f>VLOOKUP(A404,[1]dataset_2!B:H,2,FALSE)</f>
        <v>0.2273</v>
      </c>
      <c r="L404">
        <f>VLOOKUP(A404,[1]dataset_2!B:H,3,FALSE)</f>
        <v>0.8</v>
      </c>
      <c r="M404">
        <f>VLOOKUP(A404,[1]dataset_2!B:H,4,FALSE)</f>
        <v>0.16420000000000001</v>
      </c>
      <c r="N404">
        <f>VLOOKUP(A404,[1]dataset_2!B:H,5,FALSE)</f>
        <v>1</v>
      </c>
      <c r="O404">
        <f>VLOOKUP(A404,[1]dataset_2!B:H,6,FALSE)</f>
        <v>132</v>
      </c>
      <c r="P404">
        <f>VLOOKUP(A404,[1]dataset_2!B:H,7,FALSE)</f>
        <v>133</v>
      </c>
      <c r="Q404" t="str">
        <f t="shared" si="18"/>
        <v>Weekday</v>
      </c>
      <c r="R404" t="str">
        <f t="shared" si="19"/>
        <v>Evening</v>
      </c>
      <c r="S404" t="str">
        <f t="shared" si="20"/>
        <v>High</v>
      </c>
    </row>
    <row r="405" spans="1:19">
      <c r="A405" s="14">
        <v>404</v>
      </c>
      <c r="B405" s="15">
        <v>40561</v>
      </c>
      <c r="C405" s="14">
        <v>1</v>
      </c>
      <c r="D405" s="14">
        <v>0</v>
      </c>
      <c r="E405" s="14">
        <v>1</v>
      </c>
      <c r="F405" s="14">
        <v>19</v>
      </c>
      <c r="G405" s="14" t="b">
        <v>0</v>
      </c>
      <c r="H405" s="14">
        <v>2</v>
      </c>
      <c r="I405" s="14">
        <v>2</v>
      </c>
      <c r="J405" s="14">
        <v>0.22</v>
      </c>
      <c r="K405">
        <f>VLOOKUP(A405,[1]dataset_2!B:H,2,FALSE)</f>
        <v>0.2273</v>
      </c>
      <c r="L405">
        <f>VLOOKUP(A405,[1]dataset_2!B:H,3,FALSE)</f>
        <v>0.8</v>
      </c>
      <c r="M405">
        <f>VLOOKUP(A405,[1]dataset_2!B:H,4,FALSE)</f>
        <v>0.1343</v>
      </c>
      <c r="N405">
        <f>VLOOKUP(A405,[1]dataset_2!B:H,5,FALSE)</f>
        <v>1</v>
      </c>
      <c r="O405">
        <f>VLOOKUP(A405,[1]dataset_2!B:H,6,FALSE)</f>
        <v>98</v>
      </c>
      <c r="P405">
        <f>VLOOKUP(A405,[1]dataset_2!B:H,7,FALSE)</f>
        <v>99</v>
      </c>
      <c r="Q405" t="str">
        <f t="shared" si="18"/>
        <v>Weekday</v>
      </c>
      <c r="R405" t="str">
        <f t="shared" si="19"/>
        <v>Evening</v>
      </c>
      <c r="S405" t="str">
        <f t="shared" si="20"/>
        <v>Low</v>
      </c>
    </row>
    <row r="406" spans="1:19">
      <c r="A406" s="14">
        <v>405</v>
      </c>
      <c r="B406" s="15">
        <v>40561</v>
      </c>
      <c r="C406" s="14">
        <v>1</v>
      </c>
      <c r="D406" s="14">
        <v>0</v>
      </c>
      <c r="E406" s="14">
        <v>1</v>
      </c>
      <c r="F406" s="14">
        <v>20</v>
      </c>
      <c r="G406" s="14" t="b">
        <v>0</v>
      </c>
      <c r="H406" s="14">
        <v>2</v>
      </c>
      <c r="I406" s="14">
        <v>2</v>
      </c>
      <c r="J406" s="14">
        <v>0.22</v>
      </c>
      <c r="K406">
        <f>VLOOKUP(A406,[1]dataset_2!B:H,2,FALSE)</f>
        <v>0.2727</v>
      </c>
      <c r="L406">
        <f>VLOOKUP(A406,[1]dataset_2!B:H,3,FALSE)</f>
        <v>0.87</v>
      </c>
      <c r="M406">
        <f>VLOOKUP(A406,[1]dataset_2!B:H,4,FALSE)</f>
        <v>0</v>
      </c>
      <c r="N406">
        <f>VLOOKUP(A406,[1]dataset_2!B:H,5,FALSE)</f>
        <v>0</v>
      </c>
      <c r="O406">
        <f>VLOOKUP(A406,[1]dataset_2!B:H,6,FALSE)</f>
        <v>83</v>
      </c>
      <c r="P406">
        <f>VLOOKUP(A406,[1]dataset_2!B:H,7,FALSE)</f>
        <v>83</v>
      </c>
      <c r="Q406" t="str">
        <f t="shared" si="18"/>
        <v>Weekday</v>
      </c>
      <c r="R406" t="str">
        <f t="shared" si="19"/>
        <v>Evening</v>
      </c>
      <c r="S406" t="str">
        <f t="shared" si="20"/>
        <v>Low</v>
      </c>
    </row>
    <row r="407" spans="1:19">
      <c r="A407" s="14">
        <v>406</v>
      </c>
      <c r="B407" s="15">
        <v>40561</v>
      </c>
      <c r="C407" s="14">
        <v>1</v>
      </c>
      <c r="D407" s="14">
        <v>0</v>
      </c>
      <c r="E407" s="14">
        <v>1</v>
      </c>
      <c r="F407" s="14">
        <v>21</v>
      </c>
      <c r="G407" s="14" t="b">
        <v>0</v>
      </c>
      <c r="H407" s="14">
        <v>2</v>
      </c>
      <c r="I407" s="14">
        <v>2</v>
      </c>
      <c r="J407" s="14">
        <v>0.22</v>
      </c>
      <c r="K407">
        <f>VLOOKUP(A407,[1]dataset_2!B:H,2,FALSE)</f>
        <v>0.2424</v>
      </c>
      <c r="L407">
        <f>VLOOKUP(A407,[1]dataset_2!B:H,3,FALSE)</f>
        <v>0.93</v>
      </c>
      <c r="M407">
        <f>VLOOKUP(A407,[1]dataset_2!B:H,4,FALSE)</f>
        <v>0.1045</v>
      </c>
      <c r="N407">
        <f>VLOOKUP(A407,[1]dataset_2!B:H,5,FALSE)</f>
        <v>0</v>
      </c>
      <c r="O407">
        <f>VLOOKUP(A407,[1]dataset_2!B:H,6,FALSE)</f>
        <v>41</v>
      </c>
      <c r="P407">
        <f>VLOOKUP(A407,[1]dataset_2!B:H,7,FALSE)</f>
        <v>41</v>
      </c>
      <c r="Q407" t="str">
        <f t="shared" si="18"/>
        <v>Weekday</v>
      </c>
      <c r="R407" t="str">
        <f t="shared" si="19"/>
        <v>Evening</v>
      </c>
      <c r="S407" t="str">
        <f t="shared" si="20"/>
        <v>Low</v>
      </c>
    </row>
    <row r="408" spans="1:19">
      <c r="A408" s="14">
        <v>407</v>
      </c>
      <c r="B408" s="15">
        <v>40561</v>
      </c>
      <c r="C408" s="14">
        <v>1</v>
      </c>
      <c r="D408" s="14">
        <v>0</v>
      </c>
      <c r="E408" s="14">
        <v>1</v>
      </c>
      <c r="F408" s="14">
        <v>22</v>
      </c>
      <c r="G408" s="14" t="b">
        <v>0</v>
      </c>
      <c r="H408" s="14">
        <v>2</v>
      </c>
      <c r="I408" s="14">
        <v>2</v>
      </c>
      <c r="J408" s="14">
        <v>0.22</v>
      </c>
      <c r="K408">
        <f>VLOOKUP(A408,[1]dataset_2!B:H,2,FALSE)</f>
        <v>0.2576</v>
      </c>
      <c r="L408">
        <f>VLOOKUP(A408,[1]dataset_2!B:H,3,FALSE)</f>
        <v>0.93</v>
      </c>
      <c r="M408">
        <f>VLOOKUP(A408,[1]dataset_2!B:H,4,FALSE)</f>
        <v>8.9599999999999999E-2</v>
      </c>
      <c r="N408">
        <f>VLOOKUP(A408,[1]dataset_2!B:H,5,FALSE)</f>
        <v>0</v>
      </c>
      <c r="O408">
        <f>VLOOKUP(A408,[1]dataset_2!B:H,6,FALSE)</f>
        <v>33</v>
      </c>
      <c r="P408">
        <f>VLOOKUP(A408,[1]dataset_2!B:H,7,FALSE)</f>
        <v>33</v>
      </c>
      <c r="Q408" t="str">
        <f t="shared" si="18"/>
        <v>Weekday</v>
      </c>
      <c r="R408" t="str">
        <f t="shared" si="19"/>
        <v>Evening</v>
      </c>
      <c r="S408" t="str">
        <f t="shared" si="20"/>
        <v>Low</v>
      </c>
    </row>
    <row r="409" spans="1:19">
      <c r="A409" s="14">
        <v>408</v>
      </c>
      <c r="B409" s="15">
        <v>40561</v>
      </c>
      <c r="C409" s="14">
        <v>1</v>
      </c>
      <c r="D409" s="14">
        <v>0</v>
      </c>
      <c r="E409" s="14">
        <v>1</v>
      </c>
      <c r="F409" s="14">
        <v>23</v>
      </c>
      <c r="G409" s="14" t="b">
        <v>0</v>
      </c>
      <c r="H409" s="14">
        <v>2</v>
      </c>
      <c r="I409" s="14">
        <v>2</v>
      </c>
      <c r="J409" s="14">
        <v>0.22</v>
      </c>
      <c r="K409">
        <f>VLOOKUP(A409,[1]dataset_2!B:H,2,FALSE)</f>
        <v>0.2727</v>
      </c>
      <c r="L409">
        <f>VLOOKUP(A409,[1]dataset_2!B:H,3,FALSE)</f>
        <v>0.93</v>
      </c>
      <c r="M409">
        <f>VLOOKUP(A409,[1]dataset_2!B:H,4,FALSE)</f>
        <v>0</v>
      </c>
      <c r="N409">
        <f>VLOOKUP(A409,[1]dataset_2!B:H,5,FALSE)</f>
        <v>1</v>
      </c>
      <c r="O409">
        <f>VLOOKUP(A409,[1]dataset_2!B:H,6,FALSE)</f>
        <v>19</v>
      </c>
      <c r="P409">
        <f>VLOOKUP(A409,[1]dataset_2!B:H,7,FALSE)</f>
        <v>20</v>
      </c>
      <c r="Q409" t="str">
        <f t="shared" si="18"/>
        <v>Weekday</v>
      </c>
      <c r="R409" t="str">
        <f t="shared" si="19"/>
        <v>Evening</v>
      </c>
      <c r="S409" t="str">
        <f t="shared" si="20"/>
        <v>Low</v>
      </c>
    </row>
    <row r="410" spans="1:19">
      <c r="A410" s="14">
        <v>409</v>
      </c>
      <c r="B410" s="15">
        <v>40562</v>
      </c>
      <c r="C410" s="14">
        <v>1</v>
      </c>
      <c r="D410" s="14">
        <v>0</v>
      </c>
      <c r="E410" s="14">
        <v>1</v>
      </c>
      <c r="F410" s="14">
        <v>0</v>
      </c>
      <c r="G410" s="14" t="b">
        <v>0</v>
      </c>
      <c r="H410" s="14">
        <v>3</v>
      </c>
      <c r="I410" s="14">
        <v>2</v>
      </c>
      <c r="J410" s="14">
        <v>0.22</v>
      </c>
      <c r="K410">
        <f>VLOOKUP(A410,[1]dataset_2!B:H,2,FALSE)</f>
        <v>0.2727</v>
      </c>
      <c r="L410">
        <f>VLOOKUP(A410,[1]dataset_2!B:H,3,FALSE)</f>
        <v>0.93</v>
      </c>
      <c r="M410">
        <f>VLOOKUP(A410,[1]dataset_2!B:H,4,FALSE)</f>
        <v>0</v>
      </c>
      <c r="N410">
        <f>VLOOKUP(A410,[1]dataset_2!B:H,5,FALSE)</f>
        <v>0</v>
      </c>
      <c r="O410">
        <f>VLOOKUP(A410,[1]dataset_2!B:H,6,FALSE)</f>
        <v>3</v>
      </c>
      <c r="P410">
        <f>VLOOKUP(A410,[1]dataset_2!B:H,7,FALSE)</f>
        <v>3</v>
      </c>
      <c r="Q410" t="str">
        <f t="shared" si="18"/>
        <v>Weekday</v>
      </c>
      <c r="R410" t="str">
        <f t="shared" si="19"/>
        <v>Morning</v>
      </c>
      <c r="S410" t="str">
        <f t="shared" si="20"/>
        <v>Low</v>
      </c>
    </row>
    <row r="411" spans="1:19">
      <c r="A411" s="14">
        <v>410</v>
      </c>
      <c r="B411" s="15">
        <v>40562</v>
      </c>
      <c r="C411" s="14">
        <v>1</v>
      </c>
      <c r="D411" s="14">
        <v>0</v>
      </c>
      <c r="E411" s="14">
        <v>1</v>
      </c>
      <c r="F411" s="14">
        <v>1</v>
      </c>
      <c r="G411" s="14" t="b">
        <v>0</v>
      </c>
      <c r="H411" s="14">
        <v>3</v>
      </c>
      <c r="I411" s="14">
        <v>3</v>
      </c>
      <c r="J411" s="14">
        <v>0.22</v>
      </c>
      <c r="K411">
        <f>VLOOKUP(A411,[1]dataset_2!B:H,2,FALSE)</f>
        <v>0.2273</v>
      </c>
      <c r="L411">
        <f>VLOOKUP(A411,[1]dataset_2!B:H,3,FALSE)</f>
        <v>0.93</v>
      </c>
      <c r="M411">
        <f>VLOOKUP(A411,[1]dataset_2!B:H,4,FALSE)</f>
        <v>0.1343</v>
      </c>
      <c r="N411">
        <f>VLOOKUP(A411,[1]dataset_2!B:H,5,FALSE)</f>
        <v>1</v>
      </c>
      <c r="O411">
        <f>VLOOKUP(A411,[1]dataset_2!B:H,6,FALSE)</f>
        <v>6</v>
      </c>
      <c r="P411">
        <f>VLOOKUP(A411,[1]dataset_2!B:H,7,FALSE)</f>
        <v>7</v>
      </c>
      <c r="Q411" t="str">
        <f t="shared" si="18"/>
        <v>Weekday</v>
      </c>
      <c r="R411" t="str">
        <f t="shared" si="19"/>
        <v>Morning</v>
      </c>
      <c r="S411" t="str">
        <f t="shared" si="20"/>
        <v>Low</v>
      </c>
    </row>
    <row r="412" spans="1:19">
      <c r="A412" s="14">
        <v>411</v>
      </c>
      <c r="B412" s="15">
        <v>40562</v>
      </c>
      <c r="C412" s="14">
        <v>1</v>
      </c>
      <c r="D412" s="14">
        <v>0</v>
      </c>
      <c r="E412" s="14">
        <v>1</v>
      </c>
      <c r="F412" s="14">
        <v>2</v>
      </c>
      <c r="G412" s="14" t="b">
        <v>0</v>
      </c>
      <c r="H412" s="14">
        <v>3</v>
      </c>
      <c r="I412" s="14">
        <v>3</v>
      </c>
      <c r="J412" s="14">
        <v>0.22</v>
      </c>
      <c r="K412">
        <f>VLOOKUP(A412,[1]dataset_2!B:H,2,FALSE)</f>
        <v>0.2273</v>
      </c>
      <c r="L412">
        <f>VLOOKUP(A412,[1]dataset_2!B:H,3,FALSE)</f>
        <v>0.93</v>
      </c>
      <c r="M412">
        <f>VLOOKUP(A412,[1]dataset_2!B:H,4,FALSE)</f>
        <v>0.1343</v>
      </c>
      <c r="N412">
        <f>VLOOKUP(A412,[1]dataset_2!B:H,5,FALSE)</f>
        <v>0</v>
      </c>
      <c r="O412">
        <f>VLOOKUP(A412,[1]dataset_2!B:H,6,FALSE)</f>
        <v>3</v>
      </c>
      <c r="P412">
        <f>VLOOKUP(A412,[1]dataset_2!B:H,7,FALSE)</f>
        <v>3</v>
      </c>
      <c r="Q412" t="str">
        <f t="shared" si="18"/>
        <v>Weekday</v>
      </c>
      <c r="R412" t="str">
        <f t="shared" si="19"/>
        <v>Morning</v>
      </c>
      <c r="S412" t="str">
        <f t="shared" si="20"/>
        <v>Low</v>
      </c>
    </row>
    <row r="413" spans="1:19">
      <c r="A413" s="14">
        <v>412</v>
      </c>
      <c r="B413" s="15">
        <v>40562</v>
      </c>
      <c r="C413" s="14">
        <v>1</v>
      </c>
      <c r="D413" s="14">
        <v>0</v>
      </c>
      <c r="E413" s="14">
        <v>1</v>
      </c>
      <c r="F413" s="14">
        <v>4</v>
      </c>
      <c r="G413" s="14" t="b">
        <v>0</v>
      </c>
      <c r="H413" s="14">
        <v>3</v>
      </c>
      <c r="I413" s="14">
        <v>3</v>
      </c>
      <c r="J413" s="14">
        <v>0.22</v>
      </c>
      <c r="K413">
        <f>VLOOKUP(A413,[1]dataset_2!B:H,2,FALSE)</f>
        <v>0.2273</v>
      </c>
      <c r="L413">
        <f>VLOOKUP(A413,[1]dataset_2!B:H,3,FALSE)</f>
        <v>0.93</v>
      </c>
      <c r="M413">
        <f>VLOOKUP(A413,[1]dataset_2!B:H,4,FALSE)</f>
        <v>0.1343</v>
      </c>
      <c r="N413">
        <f>VLOOKUP(A413,[1]dataset_2!B:H,5,FALSE)</f>
        <v>1</v>
      </c>
      <c r="O413">
        <f>VLOOKUP(A413,[1]dataset_2!B:H,6,FALSE)</f>
        <v>1</v>
      </c>
      <c r="P413">
        <f>VLOOKUP(A413,[1]dataset_2!B:H,7,FALSE)</f>
        <v>2</v>
      </c>
      <c r="Q413" t="str">
        <f t="shared" si="18"/>
        <v>Weekday</v>
      </c>
      <c r="R413" t="str">
        <f t="shared" si="19"/>
        <v>Morning</v>
      </c>
      <c r="S413" t="str">
        <f t="shared" si="20"/>
        <v>Low</v>
      </c>
    </row>
    <row r="414" spans="1:19">
      <c r="A414" s="14">
        <v>413</v>
      </c>
      <c r="B414" s="15">
        <v>40562</v>
      </c>
      <c r="C414" s="14">
        <v>1</v>
      </c>
      <c r="D414" s="14">
        <v>0</v>
      </c>
      <c r="E414" s="14">
        <v>1</v>
      </c>
      <c r="F414" s="14">
        <v>5</v>
      </c>
      <c r="G414" s="14" t="b">
        <v>0</v>
      </c>
      <c r="H414" s="14">
        <v>3</v>
      </c>
      <c r="I414" s="14">
        <v>2</v>
      </c>
      <c r="J414" s="14">
        <v>0.22</v>
      </c>
      <c r="K414">
        <f>VLOOKUP(A414,[1]dataset_2!B:H,2,FALSE)</f>
        <v>0.2576</v>
      </c>
      <c r="L414">
        <f>VLOOKUP(A414,[1]dataset_2!B:H,3,FALSE)</f>
        <v>0.93</v>
      </c>
      <c r="M414">
        <f>VLOOKUP(A414,[1]dataset_2!B:H,4,FALSE)</f>
        <v>8.9599999999999999E-2</v>
      </c>
      <c r="N414">
        <f>VLOOKUP(A414,[1]dataset_2!B:H,5,FALSE)</f>
        <v>0</v>
      </c>
      <c r="O414">
        <f>VLOOKUP(A414,[1]dataset_2!B:H,6,FALSE)</f>
        <v>7</v>
      </c>
      <c r="P414">
        <f>VLOOKUP(A414,[1]dataset_2!B:H,7,FALSE)</f>
        <v>7</v>
      </c>
      <c r="Q414" t="str">
        <f t="shared" si="18"/>
        <v>Weekday</v>
      </c>
      <c r="R414" t="str">
        <f t="shared" si="19"/>
        <v>Morning</v>
      </c>
      <c r="S414" t="str">
        <f t="shared" si="20"/>
        <v>Low</v>
      </c>
    </row>
    <row r="415" spans="1:19">
      <c r="A415" s="14">
        <v>414</v>
      </c>
      <c r="B415" s="15">
        <v>40562</v>
      </c>
      <c r="C415" s="14">
        <v>1</v>
      </c>
      <c r="D415" s="14">
        <v>0</v>
      </c>
      <c r="E415" s="14">
        <v>1</v>
      </c>
      <c r="F415" s="14">
        <v>6</v>
      </c>
      <c r="G415" s="14" t="b">
        <v>0</v>
      </c>
      <c r="H415" s="14">
        <v>3</v>
      </c>
      <c r="I415" s="14">
        <v>2</v>
      </c>
      <c r="J415" s="14">
        <v>0.22</v>
      </c>
      <c r="K415">
        <f>VLOOKUP(A415,[1]dataset_2!B:H,2,FALSE)</f>
        <v>0.2576</v>
      </c>
      <c r="L415">
        <f>VLOOKUP(A415,[1]dataset_2!B:H,3,FALSE)</f>
        <v>0.93</v>
      </c>
      <c r="M415">
        <f>VLOOKUP(A415,[1]dataset_2!B:H,4,FALSE)</f>
        <v>8.9599999999999999E-2</v>
      </c>
      <c r="N415">
        <f>VLOOKUP(A415,[1]dataset_2!B:H,5,FALSE)</f>
        <v>0</v>
      </c>
      <c r="O415">
        <f>VLOOKUP(A415,[1]dataset_2!B:H,6,FALSE)</f>
        <v>32</v>
      </c>
      <c r="P415">
        <f>VLOOKUP(A415,[1]dataset_2!B:H,7,FALSE)</f>
        <v>32</v>
      </c>
      <c r="Q415" t="str">
        <f t="shared" si="18"/>
        <v>Weekday</v>
      </c>
      <c r="R415" t="str">
        <f t="shared" si="19"/>
        <v>Morning</v>
      </c>
      <c r="S415" t="str">
        <f t="shared" si="20"/>
        <v>Low</v>
      </c>
    </row>
    <row r="416" spans="1:19">
      <c r="A416" s="14">
        <v>415</v>
      </c>
      <c r="B416" s="15">
        <v>40562</v>
      </c>
      <c r="C416" s="14">
        <v>1</v>
      </c>
      <c r="D416" s="14">
        <v>0</v>
      </c>
      <c r="E416" s="14">
        <v>1</v>
      </c>
      <c r="F416" s="14">
        <v>7</v>
      </c>
      <c r="G416" s="14" t="b">
        <v>0</v>
      </c>
      <c r="H416" s="14">
        <v>3</v>
      </c>
      <c r="I416" s="14">
        <v>2</v>
      </c>
      <c r="J416" s="14">
        <v>0.24</v>
      </c>
      <c r="K416">
        <f>VLOOKUP(A416,[1]dataset_2!B:H,2,FALSE)</f>
        <v>0.2576</v>
      </c>
      <c r="L416">
        <f>VLOOKUP(A416,[1]dataset_2!B:H,3,FALSE)</f>
        <v>0.92</v>
      </c>
      <c r="M416">
        <f>VLOOKUP(A416,[1]dataset_2!B:H,4,FALSE)</f>
        <v>0.1045</v>
      </c>
      <c r="N416">
        <f>VLOOKUP(A416,[1]dataset_2!B:H,5,FALSE)</f>
        <v>1</v>
      </c>
      <c r="O416">
        <f>VLOOKUP(A416,[1]dataset_2!B:H,6,FALSE)</f>
        <v>89</v>
      </c>
      <c r="P416">
        <f>VLOOKUP(A416,[1]dataset_2!B:H,7,FALSE)</f>
        <v>90</v>
      </c>
      <c r="Q416" t="str">
        <f t="shared" si="18"/>
        <v>Weekday</v>
      </c>
      <c r="R416" t="str">
        <f t="shared" si="19"/>
        <v>Morning</v>
      </c>
      <c r="S416" t="str">
        <f t="shared" si="20"/>
        <v>Low</v>
      </c>
    </row>
    <row r="417" spans="1:19">
      <c r="A417" s="14">
        <v>416</v>
      </c>
      <c r="B417" s="15">
        <v>40562</v>
      </c>
      <c r="C417" s="14">
        <v>1</v>
      </c>
      <c r="D417" s="14">
        <v>0</v>
      </c>
      <c r="E417" s="14">
        <v>1</v>
      </c>
      <c r="F417" s="14">
        <v>8</v>
      </c>
      <c r="G417" s="14" t="b">
        <v>0</v>
      </c>
      <c r="H417" s="14">
        <v>3</v>
      </c>
      <c r="I417" s="14">
        <v>2</v>
      </c>
      <c r="J417" s="14">
        <v>0.24</v>
      </c>
      <c r="K417">
        <f>VLOOKUP(A417,[1]dataset_2!B:H,2,FALSE)</f>
        <v>0.2576</v>
      </c>
      <c r="L417">
        <f>VLOOKUP(A417,[1]dataset_2!B:H,3,FALSE)</f>
        <v>0.93</v>
      </c>
      <c r="M417">
        <f>VLOOKUP(A417,[1]dataset_2!B:H,4,FALSE)</f>
        <v>0.1045</v>
      </c>
      <c r="N417">
        <f>VLOOKUP(A417,[1]dataset_2!B:H,5,FALSE)</f>
        <v>1</v>
      </c>
      <c r="O417">
        <f>VLOOKUP(A417,[1]dataset_2!B:H,6,FALSE)</f>
        <v>196</v>
      </c>
      <c r="P417">
        <f>VLOOKUP(A417,[1]dataset_2!B:H,7,FALSE)</f>
        <v>197</v>
      </c>
      <c r="Q417" t="str">
        <f t="shared" si="18"/>
        <v>Weekday</v>
      </c>
      <c r="R417" t="str">
        <f t="shared" si="19"/>
        <v>Morning</v>
      </c>
      <c r="S417" t="str">
        <f t="shared" si="20"/>
        <v>High</v>
      </c>
    </row>
    <row r="418" spans="1:19">
      <c r="A418" s="14">
        <v>417</v>
      </c>
      <c r="B418" s="15">
        <v>40562</v>
      </c>
      <c r="C418" s="14">
        <v>1</v>
      </c>
      <c r="D418" s="14">
        <v>0</v>
      </c>
      <c r="E418" s="14">
        <v>1</v>
      </c>
      <c r="F418" s="14">
        <v>9</v>
      </c>
      <c r="G418" s="14" t="b">
        <v>0</v>
      </c>
      <c r="H418" s="14">
        <v>3</v>
      </c>
      <c r="I418" s="14">
        <v>2</v>
      </c>
      <c r="J418" s="14">
        <v>0.24</v>
      </c>
      <c r="K418">
        <f>VLOOKUP(A418,[1]dataset_2!B:H,2,FALSE)</f>
        <v>0.2576</v>
      </c>
      <c r="L418">
        <f>VLOOKUP(A418,[1]dataset_2!B:H,3,FALSE)</f>
        <v>0.93</v>
      </c>
      <c r="M418">
        <f>VLOOKUP(A418,[1]dataset_2!B:H,4,FALSE)</f>
        <v>0.1045</v>
      </c>
      <c r="N418">
        <f>VLOOKUP(A418,[1]dataset_2!B:H,5,FALSE)</f>
        <v>2</v>
      </c>
      <c r="O418">
        <f>VLOOKUP(A418,[1]dataset_2!B:H,6,FALSE)</f>
        <v>107</v>
      </c>
      <c r="P418">
        <f>VLOOKUP(A418,[1]dataset_2!B:H,7,FALSE)</f>
        <v>109</v>
      </c>
      <c r="Q418" t="str">
        <f t="shared" si="18"/>
        <v>Weekday</v>
      </c>
      <c r="R418" t="str">
        <f t="shared" si="19"/>
        <v>Morning</v>
      </c>
      <c r="S418" t="str">
        <f t="shared" si="20"/>
        <v>High</v>
      </c>
    </row>
    <row r="419" spans="1:19">
      <c r="A419" s="14">
        <v>418</v>
      </c>
      <c r="B419" s="15">
        <v>40562</v>
      </c>
      <c r="C419" s="14">
        <v>1</v>
      </c>
      <c r="D419" s="14">
        <v>0</v>
      </c>
      <c r="E419" s="14">
        <v>1</v>
      </c>
      <c r="F419" s="14">
        <v>10</v>
      </c>
      <c r="G419" s="14" t="b">
        <v>0</v>
      </c>
      <c r="H419" s="14">
        <v>3</v>
      </c>
      <c r="I419" s="14">
        <v>2</v>
      </c>
      <c r="J419" s="14">
        <v>0.26</v>
      </c>
      <c r="K419">
        <f>VLOOKUP(A419,[1]dataset_2!B:H,2,FALSE)</f>
        <v>0.2727</v>
      </c>
      <c r="L419">
        <f>VLOOKUP(A419,[1]dataset_2!B:H,3,FALSE)</f>
        <v>0.93</v>
      </c>
      <c r="M419">
        <f>VLOOKUP(A419,[1]dataset_2!B:H,4,FALSE)</f>
        <v>0.1343</v>
      </c>
      <c r="N419">
        <f>VLOOKUP(A419,[1]dataset_2!B:H,5,FALSE)</f>
        <v>1</v>
      </c>
      <c r="O419">
        <f>VLOOKUP(A419,[1]dataset_2!B:H,6,FALSE)</f>
        <v>46</v>
      </c>
      <c r="P419">
        <f>VLOOKUP(A419,[1]dataset_2!B:H,7,FALSE)</f>
        <v>47</v>
      </c>
      <c r="Q419" t="str">
        <f t="shared" si="18"/>
        <v>Weekday</v>
      </c>
      <c r="R419" t="str">
        <f t="shared" si="19"/>
        <v>Morning</v>
      </c>
      <c r="S419" t="str">
        <f t="shared" si="20"/>
        <v>Low</v>
      </c>
    </row>
    <row r="420" spans="1:19">
      <c r="A420" s="14">
        <v>419</v>
      </c>
      <c r="B420" s="15">
        <v>40562</v>
      </c>
      <c r="C420" s="14">
        <v>1</v>
      </c>
      <c r="D420" s="14">
        <v>0</v>
      </c>
      <c r="E420" s="14">
        <v>1</v>
      </c>
      <c r="F420" s="14">
        <v>11</v>
      </c>
      <c r="G420" s="14" t="b">
        <v>0</v>
      </c>
      <c r="H420" s="14">
        <v>3</v>
      </c>
      <c r="I420" s="14">
        <v>2</v>
      </c>
      <c r="J420" s="14">
        <v>0.28000000000000003</v>
      </c>
      <c r="K420">
        <f>VLOOKUP(A420,[1]dataset_2!B:H,2,FALSE)</f>
        <v>0.30299999999999999</v>
      </c>
      <c r="L420">
        <f>VLOOKUP(A420,[1]dataset_2!B:H,3,FALSE)</f>
        <v>0.87</v>
      </c>
      <c r="M420">
        <f>VLOOKUP(A420,[1]dataset_2!B:H,4,FALSE)</f>
        <v>8.9599999999999999E-2</v>
      </c>
      <c r="N420">
        <f>VLOOKUP(A420,[1]dataset_2!B:H,5,FALSE)</f>
        <v>5</v>
      </c>
      <c r="O420">
        <f>VLOOKUP(A420,[1]dataset_2!B:H,6,FALSE)</f>
        <v>47</v>
      </c>
      <c r="P420">
        <f>VLOOKUP(A420,[1]dataset_2!B:H,7,FALSE)</f>
        <v>52</v>
      </c>
      <c r="Q420" t="str">
        <f t="shared" si="18"/>
        <v>Weekday</v>
      </c>
      <c r="R420" t="str">
        <f t="shared" si="19"/>
        <v>Morning</v>
      </c>
      <c r="S420" t="str">
        <f t="shared" si="20"/>
        <v>Low</v>
      </c>
    </row>
    <row r="421" spans="1:19">
      <c r="A421" s="14">
        <v>420</v>
      </c>
      <c r="B421" s="15">
        <v>40562</v>
      </c>
      <c r="C421" s="14">
        <v>1</v>
      </c>
      <c r="D421" s="14">
        <v>0</v>
      </c>
      <c r="E421" s="14">
        <v>1</v>
      </c>
      <c r="F421" s="14">
        <v>12</v>
      </c>
      <c r="G421" s="14" t="b">
        <v>0</v>
      </c>
      <c r="H421" s="14">
        <v>3</v>
      </c>
      <c r="I421" s="14">
        <v>2</v>
      </c>
      <c r="J421" s="14">
        <v>0.3</v>
      </c>
      <c r="K421">
        <f>VLOOKUP(A421,[1]dataset_2!B:H,2,FALSE)</f>
        <v>0.31819999999999998</v>
      </c>
      <c r="L421">
        <f>VLOOKUP(A421,[1]dataset_2!B:H,3,FALSE)</f>
        <v>0.81</v>
      </c>
      <c r="M421">
        <f>VLOOKUP(A421,[1]dataset_2!B:H,4,FALSE)</f>
        <v>8.9599999999999999E-2</v>
      </c>
      <c r="N421">
        <f>VLOOKUP(A421,[1]dataset_2!B:H,5,FALSE)</f>
        <v>5</v>
      </c>
      <c r="O421">
        <f>VLOOKUP(A421,[1]dataset_2!B:H,6,FALSE)</f>
        <v>65</v>
      </c>
      <c r="P421">
        <f>VLOOKUP(A421,[1]dataset_2!B:H,7,FALSE)</f>
        <v>70</v>
      </c>
      <c r="Q421" t="str">
        <f t="shared" si="18"/>
        <v>Weekday</v>
      </c>
      <c r="R421" t="str">
        <f t="shared" si="19"/>
        <v>Afternoon</v>
      </c>
      <c r="S421" t="str">
        <f t="shared" si="20"/>
        <v>Low</v>
      </c>
    </row>
    <row r="422" spans="1:19">
      <c r="A422" s="14">
        <v>421</v>
      </c>
      <c r="B422" s="15">
        <v>40562</v>
      </c>
      <c r="C422" s="14">
        <v>1</v>
      </c>
      <c r="D422" s="14">
        <v>0</v>
      </c>
      <c r="E422" s="14">
        <v>1</v>
      </c>
      <c r="F422" s="14">
        <v>13</v>
      </c>
      <c r="G422" s="14" t="b">
        <v>0</v>
      </c>
      <c r="H422" s="14">
        <v>3</v>
      </c>
      <c r="I422" s="14">
        <v>1</v>
      </c>
      <c r="J422" s="14">
        <v>0.4</v>
      </c>
      <c r="K422">
        <f>VLOOKUP(A422,[1]dataset_2!B:H,2,FALSE)</f>
        <v>0.40910000000000002</v>
      </c>
      <c r="L422">
        <f>VLOOKUP(A422,[1]dataset_2!B:H,3,FALSE)</f>
        <v>0.62</v>
      </c>
      <c r="M422">
        <f>VLOOKUP(A422,[1]dataset_2!B:H,4,FALSE)</f>
        <v>0.28360000000000002</v>
      </c>
      <c r="N422">
        <f>VLOOKUP(A422,[1]dataset_2!B:H,5,FALSE)</f>
        <v>11</v>
      </c>
      <c r="O422">
        <f>VLOOKUP(A422,[1]dataset_2!B:H,6,FALSE)</f>
        <v>67</v>
      </c>
      <c r="P422">
        <f>VLOOKUP(A422,[1]dataset_2!B:H,7,FALSE)</f>
        <v>78</v>
      </c>
      <c r="Q422" t="str">
        <f t="shared" si="18"/>
        <v>Weekday</v>
      </c>
      <c r="R422" t="str">
        <f t="shared" si="19"/>
        <v>Afternoon</v>
      </c>
      <c r="S422" t="str">
        <f t="shared" si="20"/>
        <v>Low</v>
      </c>
    </row>
    <row r="423" spans="1:19">
      <c r="A423" s="14">
        <v>422</v>
      </c>
      <c r="B423" s="15">
        <v>40562</v>
      </c>
      <c r="C423" s="14">
        <v>1</v>
      </c>
      <c r="D423" s="14">
        <v>0</v>
      </c>
      <c r="E423" s="14">
        <v>1</v>
      </c>
      <c r="F423" s="14">
        <v>14</v>
      </c>
      <c r="G423" s="14" t="b">
        <v>0</v>
      </c>
      <c r="H423" s="14">
        <v>3</v>
      </c>
      <c r="I423" s="14">
        <v>1</v>
      </c>
      <c r="J423" s="14">
        <v>0.4</v>
      </c>
      <c r="K423">
        <f>VLOOKUP(A423,[1]dataset_2!B:H,2,FALSE)</f>
        <v>0.40910000000000002</v>
      </c>
      <c r="L423">
        <f>VLOOKUP(A423,[1]dataset_2!B:H,3,FALSE)</f>
        <v>0.57999999999999996</v>
      </c>
      <c r="M423">
        <f>VLOOKUP(A423,[1]dataset_2!B:H,4,FALSE)</f>
        <v>0.25369999999999998</v>
      </c>
      <c r="N423">
        <f>VLOOKUP(A423,[1]dataset_2!B:H,5,FALSE)</f>
        <v>7</v>
      </c>
      <c r="O423">
        <f>VLOOKUP(A423,[1]dataset_2!B:H,6,FALSE)</f>
        <v>68</v>
      </c>
      <c r="P423">
        <f>VLOOKUP(A423,[1]dataset_2!B:H,7,FALSE)</f>
        <v>75</v>
      </c>
      <c r="Q423" t="str">
        <f t="shared" si="18"/>
        <v>Weekday</v>
      </c>
      <c r="R423" t="str">
        <f t="shared" si="19"/>
        <v>Afternoon</v>
      </c>
      <c r="S423" t="str">
        <f t="shared" si="20"/>
        <v>Low</v>
      </c>
    </row>
    <row r="424" spans="1:19">
      <c r="A424" s="14">
        <v>423</v>
      </c>
      <c r="B424" s="15">
        <v>40562</v>
      </c>
      <c r="C424" s="14">
        <v>1</v>
      </c>
      <c r="D424" s="14">
        <v>0</v>
      </c>
      <c r="E424" s="14">
        <v>1</v>
      </c>
      <c r="F424" s="14">
        <v>15</v>
      </c>
      <c r="G424" s="14" t="b">
        <v>0</v>
      </c>
      <c r="H424" s="14">
        <v>3</v>
      </c>
      <c r="I424" s="14">
        <v>1</v>
      </c>
      <c r="J424" s="14">
        <v>0.4</v>
      </c>
      <c r="K424">
        <f>VLOOKUP(A424,[1]dataset_2!B:H,2,FALSE)</f>
        <v>0.40910000000000002</v>
      </c>
      <c r="L424">
        <f>VLOOKUP(A424,[1]dataset_2!B:H,3,FALSE)</f>
        <v>0.54</v>
      </c>
      <c r="M424">
        <f>VLOOKUP(A424,[1]dataset_2!B:H,4,FALSE)</f>
        <v>0.28360000000000002</v>
      </c>
      <c r="N424">
        <f>VLOOKUP(A424,[1]dataset_2!B:H,5,FALSE)</f>
        <v>4</v>
      </c>
      <c r="O424">
        <f>VLOOKUP(A424,[1]dataset_2!B:H,6,FALSE)</f>
        <v>78</v>
      </c>
      <c r="P424">
        <f>VLOOKUP(A424,[1]dataset_2!B:H,7,FALSE)</f>
        <v>82</v>
      </c>
      <c r="Q424" t="str">
        <f t="shared" si="18"/>
        <v>Weekday</v>
      </c>
      <c r="R424" t="str">
        <f t="shared" si="19"/>
        <v>Afternoon</v>
      </c>
      <c r="S424" t="str">
        <f t="shared" si="20"/>
        <v>Low</v>
      </c>
    </row>
    <row r="425" spans="1:19">
      <c r="A425" s="14">
        <v>424</v>
      </c>
      <c r="B425" s="15">
        <v>40562</v>
      </c>
      <c r="C425" s="14">
        <v>1</v>
      </c>
      <c r="D425" s="14">
        <v>0</v>
      </c>
      <c r="E425" s="14">
        <v>1</v>
      </c>
      <c r="F425" s="14">
        <v>16</v>
      </c>
      <c r="G425" s="14" t="b">
        <v>0</v>
      </c>
      <c r="H425" s="14">
        <v>3</v>
      </c>
      <c r="I425" s="14">
        <v>1</v>
      </c>
      <c r="J425" s="14">
        <v>0.38</v>
      </c>
      <c r="K425">
        <f>VLOOKUP(A425,[1]dataset_2!B:H,2,FALSE)</f>
        <v>0.39389999999999997</v>
      </c>
      <c r="L425">
        <f>VLOOKUP(A425,[1]dataset_2!B:H,3,FALSE)</f>
        <v>0.57999999999999996</v>
      </c>
      <c r="M425">
        <f>VLOOKUP(A425,[1]dataset_2!B:H,4,FALSE)</f>
        <v>0.3881</v>
      </c>
      <c r="N425">
        <f>VLOOKUP(A425,[1]dataset_2!B:H,5,FALSE)</f>
        <v>10</v>
      </c>
      <c r="O425">
        <f>VLOOKUP(A425,[1]dataset_2!B:H,6,FALSE)</f>
        <v>94</v>
      </c>
      <c r="P425">
        <f>VLOOKUP(A425,[1]dataset_2!B:H,7,FALSE)</f>
        <v>104</v>
      </c>
      <c r="Q425" t="str">
        <f t="shared" si="18"/>
        <v>Weekday</v>
      </c>
      <c r="R425" t="str">
        <f t="shared" si="19"/>
        <v>Afternoon</v>
      </c>
      <c r="S425" t="str">
        <f t="shared" si="20"/>
        <v>High</v>
      </c>
    </row>
    <row r="426" spans="1:19">
      <c r="A426" s="14">
        <v>425</v>
      </c>
      <c r="B426" s="15">
        <v>40562</v>
      </c>
      <c r="C426" s="14">
        <v>1</v>
      </c>
      <c r="D426" s="14">
        <v>0</v>
      </c>
      <c r="E426" s="14">
        <v>1</v>
      </c>
      <c r="F426" s="14">
        <v>17</v>
      </c>
      <c r="G426" s="14" t="b">
        <v>0</v>
      </c>
      <c r="H426" s="14">
        <v>3</v>
      </c>
      <c r="I426" s="14">
        <v>1</v>
      </c>
      <c r="J426" s="14">
        <v>0.36</v>
      </c>
      <c r="K426">
        <f>VLOOKUP(A426,[1]dataset_2!B:H,2,FALSE)</f>
        <v>0.33329999999999999</v>
      </c>
      <c r="L426">
        <f>VLOOKUP(A426,[1]dataset_2!B:H,3,FALSE)</f>
        <v>0.56999999999999995</v>
      </c>
      <c r="M426">
        <f>VLOOKUP(A426,[1]dataset_2!B:H,4,FALSE)</f>
        <v>0.32840000000000003</v>
      </c>
      <c r="N426">
        <f>VLOOKUP(A426,[1]dataset_2!B:H,5,FALSE)</f>
        <v>7</v>
      </c>
      <c r="O426">
        <f>VLOOKUP(A426,[1]dataset_2!B:H,6,FALSE)</f>
        <v>190</v>
      </c>
      <c r="P426">
        <f>VLOOKUP(A426,[1]dataset_2!B:H,7,FALSE)</f>
        <v>197</v>
      </c>
      <c r="Q426" t="str">
        <f t="shared" si="18"/>
        <v>Weekday</v>
      </c>
      <c r="R426" t="str">
        <f t="shared" si="19"/>
        <v>Afternoon</v>
      </c>
      <c r="S426" t="str">
        <f t="shared" si="20"/>
        <v>High</v>
      </c>
    </row>
    <row r="427" spans="1:19">
      <c r="A427" s="14">
        <v>426</v>
      </c>
      <c r="B427" s="15">
        <v>40562</v>
      </c>
      <c r="C427" s="14">
        <v>1</v>
      </c>
      <c r="D427" s="14">
        <v>0</v>
      </c>
      <c r="E427" s="14">
        <v>1</v>
      </c>
      <c r="F427" s="14">
        <v>18</v>
      </c>
      <c r="G427" s="14" t="b">
        <v>0</v>
      </c>
      <c r="H427" s="14">
        <v>3</v>
      </c>
      <c r="I427" s="14">
        <v>1</v>
      </c>
      <c r="J427" s="14">
        <v>0.34</v>
      </c>
      <c r="K427">
        <f>VLOOKUP(A427,[1]dataset_2!B:H,2,FALSE)</f>
        <v>0.31819999999999998</v>
      </c>
      <c r="L427">
        <f>VLOOKUP(A427,[1]dataset_2!B:H,3,FALSE)</f>
        <v>0.61</v>
      </c>
      <c r="M427">
        <f>VLOOKUP(A427,[1]dataset_2!B:H,4,FALSE)</f>
        <v>0.28360000000000002</v>
      </c>
      <c r="N427">
        <f>VLOOKUP(A427,[1]dataset_2!B:H,5,FALSE)</f>
        <v>5</v>
      </c>
      <c r="O427">
        <f>VLOOKUP(A427,[1]dataset_2!B:H,6,FALSE)</f>
        <v>156</v>
      </c>
      <c r="P427">
        <f>VLOOKUP(A427,[1]dataset_2!B:H,7,FALSE)</f>
        <v>161</v>
      </c>
      <c r="Q427" t="str">
        <f t="shared" si="18"/>
        <v>Weekday</v>
      </c>
      <c r="R427" t="str">
        <f t="shared" si="19"/>
        <v>Evening</v>
      </c>
      <c r="S427" t="str">
        <f t="shared" si="20"/>
        <v>High</v>
      </c>
    </row>
    <row r="428" spans="1:19">
      <c r="A428" s="14">
        <v>427</v>
      </c>
      <c r="B428" s="15">
        <v>40562</v>
      </c>
      <c r="C428" s="14">
        <v>1</v>
      </c>
      <c r="D428" s="14">
        <v>0</v>
      </c>
      <c r="E428" s="14">
        <v>1</v>
      </c>
      <c r="F428" s="14">
        <v>19</v>
      </c>
      <c r="G428" s="14" t="b">
        <v>0</v>
      </c>
      <c r="H428" s="14">
        <v>3</v>
      </c>
      <c r="I428" s="14">
        <v>1</v>
      </c>
      <c r="J428" s="14">
        <v>0.32</v>
      </c>
      <c r="K428">
        <f>VLOOKUP(A428,[1]dataset_2!B:H,2,FALSE)</f>
        <v>0.28789999999999999</v>
      </c>
      <c r="L428">
        <f>VLOOKUP(A428,[1]dataset_2!B:H,3,FALSE)</f>
        <v>0.56999999999999995</v>
      </c>
      <c r="M428">
        <f>VLOOKUP(A428,[1]dataset_2!B:H,4,FALSE)</f>
        <v>0.41789999999999999</v>
      </c>
      <c r="N428">
        <f>VLOOKUP(A428,[1]dataset_2!B:H,5,FALSE)</f>
        <v>4</v>
      </c>
      <c r="O428">
        <f>VLOOKUP(A428,[1]dataset_2!B:H,6,FALSE)</f>
        <v>108</v>
      </c>
      <c r="P428">
        <f>VLOOKUP(A428,[1]dataset_2!B:H,7,FALSE)</f>
        <v>112</v>
      </c>
      <c r="Q428" t="str">
        <f t="shared" si="18"/>
        <v>Weekday</v>
      </c>
      <c r="R428" t="str">
        <f t="shared" si="19"/>
        <v>Evening</v>
      </c>
      <c r="S428" t="str">
        <f t="shared" si="20"/>
        <v>High</v>
      </c>
    </row>
    <row r="429" spans="1:19">
      <c r="A429" s="14">
        <v>428</v>
      </c>
      <c r="B429" s="15">
        <v>40562</v>
      </c>
      <c r="C429" s="14">
        <v>1</v>
      </c>
      <c r="D429" s="14">
        <v>0</v>
      </c>
      <c r="E429" s="14">
        <v>1</v>
      </c>
      <c r="F429" s="14">
        <v>20</v>
      </c>
      <c r="G429" s="14" t="b">
        <v>0</v>
      </c>
      <c r="H429" s="14">
        <v>3</v>
      </c>
      <c r="I429" s="14">
        <v>1</v>
      </c>
      <c r="J429" s="14">
        <v>0.32</v>
      </c>
      <c r="K429">
        <f>VLOOKUP(A429,[1]dataset_2!B:H,2,FALSE)</f>
        <v>0.30299999999999999</v>
      </c>
      <c r="L429">
        <f>VLOOKUP(A429,[1]dataset_2!B:H,3,FALSE)</f>
        <v>0.49</v>
      </c>
      <c r="M429">
        <f>VLOOKUP(A429,[1]dataset_2!B:H,4,FALSE)</f>
        <v>0.29849999999999999</v>
      </c>
      <c r="N429">
        <f>VLOOKUP(A429,[1]dataset_2!B:H,5,FALSE)</f>
        <v>2</v>
      </c>
      <c r="O429">
        <f>VLOOKUP(A429,[1]dataset_2!B:H,6,FALSE)</f>
        <v>74</v>
      </c>
      <c r="P429">
        <f>VLOOKUP(A429,[1]dataset_2!B:H,7,FALSE)</f>
        <v>76</v>
      </c>
      <c r="Q429" t="str">
        <f t="shared" si="18"/>
        <v>Weekday</v>
      </c>
      <c r="R429" t="str">
        <f t="shared" si="19"/>
        <v>Evening</v>
      </c>
      <c r="S429" t="str">
        <f t="shared" si="20"/>
        <v>Low</v>
      </c>
    </row>
    <row r="430" spans="1:19">
      <c r="A430" s="14">
        <v>429</v>
      </c>
      <c r="B430" s="15">
        <v>40562</v>
      </c>
      <c r="C430" s="14">
        <v>1</v>
      </c>
      <c r="D430" s="14">
        <v>0</v>
      </c>
      <c r="E430" s="14">
        <v>1</v>
      </c>
      <c r="F430" s="14">
        <v>21</v>
      </c>
      <c r="G430" s="14" t="b">
        <v>0</v>
      </c>
      <c r="H430" s="14">
        <v>3</v>
      </c>
      <c r="I430" s="14">
        <v>1</v>
      </c>
      <c r="J430" s="14">
        <v>0.32</v>
      </c>
      <c r="K430">
        <f>VLOOKUP(A430,[1]dataset_2!B:H,2,FALSE)</f>
        <v>0.28789999999999999</v>
      </c>
      <c r="L430">
        <f>VLOOKUP(A430,[1]dataset_2!B:H,3,FALSE)</f>
        <v>0.49</v>
      </c>
      <c r="M430">
        <f>VLOOKUP(A430,[1]dataset_2!B:H,4,FALSE)</f>
        <v>0.41789999999999999</v>
      </c>
      <c r="N430">
        <f>VLOOKUP(A430,[1]dataset_2!B:H,5,FALSE)</f>
        <v>4</v>
      </c>
      <c r="O430">
        <f>VLOOKUP(A430,[1]dataset_2!B:H,6,FALSE)</f>
        <v>55</v>
      </c>
      <c r="P430">
        <f>VLOOKUP(A430,[1]dataset_2!B:H,7,FALSE)</f>
        <v>59</v>
      </c>
      <c r="Q430" t="str">
        <f t="shared" si="18"/>
        <v>Weekday</v>
      </c>
      <c r="R430" t="str">
        <f t="shared" si="19"/>
        <v>Evening</v>
      </c>
      <c r="S430" t="str">
        <f t="shared" si="20"/>
        <v>Low</v>
      </c>
    </row>
    <row r="431" spans="1:19">
      <c r="A431" s="14">
        <v>430</v>
      </c>
      <c r="B431" s="15">
        <v>40562</v>
      </c>
      <c r="C431" s="14">
        <v>1</v>
      </c>
      <c r="D431" s="14">
        <v>0</v>
      </c>
      <c r="E431" s="14">
        <v>1</v>
      </c>
      <c r="F431" s="14">
        <v>22</v>
      </c>
      <c r="G431" s="14" t="b">
        <v>0</v>
      </c>
      <c r="H431" s="14">
        <v>3</v>
      </c>
      <c r="I431" s="14">
        <v>1</v>
      </c>
      <c r="J431" s="14">
        <v>0.3</v>
      </c>
      <c r="K431">
        <f>VLOOKUP(A431,[1]dataset_2!B:H,2,FALSE)</f>
        <v>0.30299999999999999</v>
      </c>
      <c r="L431">
        <f>VLOOKUP(A431,[1]dataset_2!B:H,3,FALSE)</f>
        <v>0.52</v>
      </c>
      <c r="M431">
        <f>VLOOKUP(A431,[1]dataset_2!B:H,4,FALSE)</f>
        <v>0.16420000000000001</v>
      </c>
      <c r="N431">
        <f>VLOOKUP(A431,[1]dataset_2!B:H,5,FALSE)</f>
        <v>6</v>
      </c>
      <c r="O431">
        <f>VLOOKUP(A431,[1]dataset_2!B:H,6,FALSE)</f>
        <v>53</v>
      </c>
      <c r="P431">
        <f>VLOOKUP(A431,[1]dataset_2!B:H,7,FALSE)</f>
        <v>59</v>
      </c>
      <c r="Q431" t="str">
        <f t="shared" si="18"/>
        <v>Weekday</v>
      </c>
      <c r="R431" t="str">
        <f t="shared" si="19"/>
        <v>Evening</v>
      </c>
      <c r="S431" t="str">
        <f t="shared" si="20"/>
        <v>Low</v>
      </c>
    </row>
    <row r="432" spans="1:19">
      <c r="A432" s="14">
        <v>431</v>
      </c>
      <c r="B432" s="15">
        <v>40562</v>
      </c>
      <c r="C432" s="14">
        <v>1</v>
      </c>
      <c r="D432" s="14">
        <v>0</v>
      </c>
      <c r="E432" s="14">
        <v>1</v>
      </c>
      <c r="F432" s="14">
        <v>23</v>
      </c>
      <c r="G432" s="14" t="b">
        <v>0</v>
      </c>
      <c r="H432" s="14">
        <v>3</v>
      </c>
      <c r="I432" s="14">
        <v>1</v>
      </c>
      <c r="J432" s="14">
        <v>0.3</v>
      </c>
      <c r="K432">
        <f>VLOOKUP(A432,[1]dataset_2!B:H,2,FALSE)</f>
        <v>0.2727</v>
      </c>
      <c r="L432">
        <f>VLOOKUP(A432,[1]dataset_2!B:H,3,FALSE)</f>
        <v>0.52</v>
      </c>
      <c r="M432">
        <f>VLOOKUP(A432,[1]dataset_2!B:H,4,FALSE)</f>
        <v>0.4627</v>
      </c>
      <c r="N432">
        <f>VLOOKUP(A432,[1]dataset_2!B:H,5,FALSE)</f>
        <v>1</v>
      </c>
      <c r="O432">
        <f>VLOOKUP(A432,[1]dataset_2!B:H,6,FALSE)</f>
        <v>27</v>
      </c>
      <c r="P432">
        <f>VLOOKUP(A432,[1]dataset_2!B:H,7,FALSE)</f>
        <v>28</v>
      </c>
      <c r="Q432" t="str">
        <f t="shared" si="18"/>
        <v>Weekday</v>
      </c>
      <c r="R432" t="str">
        <f t="shared" si="19"/>
        <v>Evening</v>
      </c>
      <c r="S432" t="str">
        <f t="shared" si="20"/>
        <v>Low</v>
      </c>
    </row>
    <row r="433" spans="1:19">
      <c r="A433" s="14">
        <v>432</v>
      </c>
      <c r="B433" s="15">
        <v>40563</v>
      </c>
      <c r="C433" s="14">
        <v>1</v>
      </c>
      <c r="D433" s="14">
        <v>0</v>
      </c>
      <c r="E433" s="14">
        <v>1</v>
      </c>
      <c r="F433" s="14">
        <v>0</v>
      </c>
      <c r="G433" s="14" t="b">
        <v>0</v>
      </c>
      <c r="H433" s="14">
        <v>4</v>
      </c>
      <c r="I433" s="14">
        <v>1</v>
      </c>
      <c r="J433" s="14">
        <v>0.26</v>
      </c>
      <c r="K433">
        <f>VLOOKUP(A433,[1]dataset_2!B:H,2,FALSE)</f>
        <v>0.2273</v>
      </c>
      <c r="L433">
        <f>VLOOKUP(A433,[1]dataset_2!B:H,3,FALSE)</f>
        <v>0.56000000000000005</v>
      </c>
      <c r="M433">
        <f>VLOOKUP(A433,[1]dataset_2!B:H,4,FALSE)</f>
        <v>0.3881</v>
      </c>
      <c r="N433">
        <f>VLOOKUP(A433,[1]dataset_2!B:H,5,FALSE)</f>
        <v>5</v>
      </c>
      <c r="O433">
        <f>VLOOKUP(A433,[1]dataset_2!B:H,6,FALSE)</f>
        <v>8</v>
      </c>
      <c r="P433">
        <f>VLOOKUP(A433,[1]dataset_2!B:H,7,FALSE)</f>
        <v>13</v>
      </c>
      <c r="Q433" t="str">
        <f t="shared" si="18"/>
        <v>Weekday</v>
      </c>
      <c r="R433" t="str">
        <f t="shared" si="19"/>
        <v>Morning</v>
      </c>
      <c r="S433" t="str">
        <f t="shared" si="20"/>
        <v>Low</v>
      </c>
    </row>
    <row r="434" spans="1:19">
      <c r="A434" s="14">
        <v>433</v>
      </c>
      <c r="B434" s="15">
        <v>40563</v>
      </c>
      <c r="C434" s="14">
        <v>1</v>
      </c>
      <c r="D434" s="14">
        <v>0</v>
      </c>
      <c r="E434" s="14">
        <v>1</v>
      </c>
      <c r="F434" s="14">
        <v>1</v>
      </c>
      <c r="G434" s="14" t="b">
        <v>0</v>
      </c>
      <c r="H434" s="14">
        <v>4</v>
      </c>
      <c r="I434" s="14">
        <v>1</v>
      </c>
      <c r="J434" s="14">
        <v>0.26</v>
      </c>
      <c r="K434">
        <f>VLOOKUP(A434,[1]dataset_2!B:H,2,FALSE)</f>
        <v>0.2727</v>
      </c>
      <c r="L434">
        <f>VLOOKUP(A434,[1]dataset_2!B:H,3,FALSE)</f>
        <v>0.56000000000000005</v>
      </c>
      <c r="M434">
        <f>VLOOKUP(A434,[1]dataset_2!B:H,4,FALSE)</f>
        <v>0</v>
      </c>
      <c r="N434">
        <f>VLOOKUP(A434,[1]dataset_2!B:H,5,FALSE)</f>
        <v>2</v>
      </c>
      <c r="O434">
        <f>VLOOKUP(A434,[1]dataset_2!B:H,6,FALSE)</f>
        <v>3</v>
      </c>
      <c r="P434">
        <f>VLOOKUP(A434,[1]dataset_2!B:H,7,FALSE)</f>
        <v>5</v>
      </c>
      <c r="Q434" t="str">
        <f t="shared" si="18"/>
        <v>Weekday</v>
      </c>
      <c r="R434" t="str">
        <f t="shared" si="19"/>
        <v>Morning</v>
      </c>
      <c r="S434" t="str">
        <f t="shared" si="20"/>
        <v>Low</v>
      </c>
    </row>
    <row r="435" spans="1:19">
      <c r="A435" s="14">
        <v>434</v>
      </c>
      <c r="B435" s="15">
        <v>40563</v>
      </c>
      <c r="C435" s="14">
        <v>1</v>
      </c>
      <c r="D435" s="14">
        <v>0</v>
      </c>
      <c r="E435" s="14">
        <v>1</v>
      </c>
      <c r="F435" s="14">
        <v>2</v>
      </c>
      <c r="G435" s="14" t="b">
        <v>0</v>
      </c>
      <c r="H435" s="14">
        <v>4</v>
      </c>
      <c r="I435" s="14">
        <v>1</v>
      </c>
      <c r="J435" s="14">
        <v>0.26</v>
      </c>
      <c r="K435">
        <f>VLOOKUP(A435,[1]dataset_2!B:H,2,FALSE)</f>
        <v>0.2727</v>
      </c>
      <c r="L435">
        <f>VLOOKUP(A435,[1]dataset_2!B:H,3,FALSE)</f>
        <v>0.56000000000000005</v>
      </c>
      <c r="M435">
        <f>VLOOKUP(A435,[1]dataset_2!B:H,4,FALSE)</f>
        <v>0</v>
      </c>
      <c r="N435">
        <f>VLOOKUP(A435,[1]dataset_2!B:H,5,FALSE)</f>
        <v>0</v>
      </c>
      <c r="O435">
        <f>VLOOKUP(A435,[1]dataset_2!B:H,6,FALSE)</f>
        <v>2</v>
      </c>
      <c r="P435">
        <f>VLOOKUP(A435,[1]dataset_2!B:H,7,FALSE)</f>
        <v>2</v>
      </c>
      <c r="Q435" t="str">
        <f t="shared" si="18"/>
        <v>Weekday</v>
      </c>
      <c r="R435" t="str">
        <f t="shared" si="19"/>
        <v>Morning</v>
      </c>
      <c r="S435" t="str">
        <f t="shared" si="20"/>
        <v>Low</v>
      </c>
    </row>
    <row r="436" spans="1:19">
      <c r="A436" s="14">
        <v>435</v>
      </c>
      <c r="B436" s="15">
        <v>40563</v>
      </c>
      <c r="C436" s="14">
        <v>1</v>
      </c>
      <c r="D436" s="14">
        <v>0</v>
      </c>
      <c r="E436" s="14">
        <v>1</v>
      </c>
      <c r="F436" s="14">
        <v>3</v>
      </c>
      <c r="G436" s="14" t="b">
        <v>0</v>
      </c>
      <c r="H436" s="14">
        <v>4</v>
      </c>
      <c r="I436" s="14">
        <v>1</v>
      </c>
      <c r="J436" s="14">
        <v>0.26</v>
      </c>
      <c r="K436">
        <f>VLOOKUP(A436,[1]dataset_2!B:H,2,FALSE)</f>
        <v>0.2576</v>
      </c>
      <c r="L436">
        <f>VLOOKUP(A436,[1]dataset_2!B:H,3,FALSE)</f>
        <v>0.56000000000000005</v>
      </c>
      <c r="M436">
        <f>VLOOKUP(A436,[1]dataset_2!B:H,4,FALSE)</f>
        <v>0.16420000000000001</v>
      </c>
      <c r="N436">
        <f>VLOOKUP(A436,[1]dataset_2!B:H,5,FALSE)</f>
        <v>0</v>
      </c>
      <c r="O436">
        <f>VLOOKUP(A436,[1]dataset_2!B:H,6,FALSE)</f>
        <v>1</v>
      </c>
      <c r="P436">
        <f>VLOOKUP(A436,[1]dataset_2!B:H,7,FALSE)</f>
        <v>1</v>
      </c>
      <c r="Q436" t="str">
        <f t="shared" si="18"/>
        <v>Weekday</v>
      </c>
      <c r="R436" t="str">
        <f t="shared" si="19"/>
        <v>Morning</v>
      </c>
      <c r="S436" t="str">
        <f t="shared" si="20"/>
        <v>Low</v>
      </c>
    </row>
    <row r="437" spans="1:19">
      <c r="A437" s="14">
        <v>436</v>
      </c>
      <c r="B437" s="15">
        <v>40563</v>
      </c>
      <c r="C437" s="14">
        <v>1</v>
      </c>
      <c r="D437" s="14">
        <v>0</v>
      </c>
      <c r="E437" s="14">
        <v>1</v>
      </c>
      <c r="F437" s="14">
        <v>4</v>
      </c>
      <c r="G437" s="14" t="b">
        <v>0</v>
      </c>
      <c r="H437" s="14">
        <v>4</v>
      </c>
      <c r="I437" s="14">
        <v>1</v>
      </c>
      <c r="J437" s="14">
        <v>0.26</v>
      </c>
      <c r="K437">
        <f>VLOOKUP(A437,[1]dataset_2!B:H,2,FALSE)</f>
        <v>0.2576</v>
      </c>
      <c r="L437">
        <f>VLOOKUP(A437,[1]dataset_2!B:H,3,FALSE)</f>
        <v>0.56000000000000005</v>
      </c>
      <c r="M437">
        <f>VLOOKUP(A437,[1]dataset_2!B:H,4,FALSE)</f>
        <v>0.16420000000000001</v>
      </c>
      <c r="N437">
        <f>VLOOKUP(A437,[1]dataset_2!B:H,5,FALSE)</f>
        <v>0</v>
      </c>
      <c r="O437">
        <f>VLOOKUP(A437,[1]dataset_2!B:H,6,FALSE)</f>
        <v>1</v>
      </c>
      <c r="P437">
        <f>VLOOKUP(A437,[1]dataset_2!B:H,7,FALSE)</f>
        <v>1</v>
      </c>
      <c r="Q437" t="str">
        <f t="shared" si="18"/>
        <v>Weekday</v>
      </c>
      <c r="R437" t="str">
        <f t="shared" si="19"/>
        <v>Morning</v>
      </c>
      <c r="S437" t="str">
        <f t="shared" si="20"/>
        <v>Low</v>
      </c>
    </row>
    <row r="438" spans="1:19">
      <c r="A438" s="14">
        <v>437</v>
      </c>
      <c r="B438" s="15">
        <v>40563</v>
      </c>
      <c r="C438" s="14">
        <v>1</v>
      </c>
      <c r="D438" s="14">
        <v>0</v>
      </c>
      <c r="E438" s="14">
        <v>1</v>
      </c>
      <c r="F438" s="14">
        <v>5</v>
      </c>
      <c r="G438" s="14" t="b">
        <v>0</v>
      </c>
      <c r="H438" s="14">
        <v>4</v>
      </c>
      <c r="I438" s="14">
        <v>1</v>
      </c>
      <c r="J438" s="14">
        <v>0.24</v>
      </c>
      <c r="K438">
        <f>VLOOKUP(A438,[1]dataset_2!B:H,2,FALSE)</f>
        <v>0.2273</v>
      </c>
      <c r="L438">
        <f>VLOOKUP(A438,[1]dataset_2!B:H,3,FALSE)</f>
        <v>0.6</v>
      </c>
      <c r="M438">
        <f>VLOOKUP(A438,[1]dataset_2!B:H,4,FALSE)</f>
        <v>0.22389999999999999</v>
      </c>
      <c r="N438">
        <f>VLOOKUP(A438,[1]dataset_2!B:H,5,FALSE)</f>
        <v>0</v>
      </c>
      <c r="O438">
        <f>VLOOKUP(A438,[1]dataset_2!B:H,6,FALSE)</f>
        <v>6</v>
      </c>
      <c r="P438">
        <f>VLOOKUP(A438,[1]dataset_2!B:H,7,FALSE)</f>
        <v>6</v>
      </c>
      <c r="Q438" t="str">
        <f t="shared" si="18"/>
        <v>Weekday</v>
      </c>
      <c r="R438" t="str">
        <f t="shared" si="19"/>
        <v>Morning</v>
      </c>
      <c r="S438" t="str">
        <f t="shared" si="20"/>
        <v>Low</v>
      </c>
    </row>
    <row r="439" spans="1:19">
      <c r="A439" s="14">
        <v>438</v>
      </c>
      <c r="B439" s="15">
        <v>40563</v>
      </c>
      <c r="C439" s="14">
        <v>1</v>
      </c>
      <c r="D439" s="14">
        <v>0</v>
      </c>
      <c r="E439" s="14">
        <v>1</v>
      </c>
      <c r="F439" s="14">
        <v>6</v>
      </c>
      <c r="G439" s="14" t="b">
        <v>0</v>
      </c>
      <c r="H439" s="14">
        <v>4</v>
      </c>
      <c r="I439" s="14">
        <v>1</v>
      </c>
      <c r="J439" s="14">
        <v>0.22</v>
      </c>
      <c r="K439">
        <f>VLOOKUP(A439,[1]dataset_2!B:H,2,FALSE)</f>
        <v>0.21210000000000001</v>
      </c>
      <c r="L439">
        <f>VLOOKUP(A439,[1]dataset_2!B:H,3,FALSE)</f>
        <v>0.6</v>
      </c>
      <c r="M439">
        <f>VLOOKUP(A439,[1]dataset_2!B:H,4,FALSE)</f>
        <v>0.22389999999999999</v>
      </c>
      <c r="N439">
        <f>VLOOKUP(A439,[1]dataset_2!B:H,5,FALSE)</f>
        <v>0</v>
      </c>
      <c r="O439">
        <f>VLOOKUP(A439,[1]dataset_2!B:H,6,FALSE)</f>
        <v>35</v>
      </c>
      <c r="P439">
        <f>VLOOKUP(A439,[1]dataset_2!B:H,7,FALSE)</f>
        <v>35</v>
      </c>
      <c r="Q439" t="str">
        <f t="shared" si="18"/>
        <v>Weekday</v>
      </c>
      <c r="R439" t="str">
        <f t="shared" si="19"/>
        <v>Morning</v>
      </c>
      <c r="S439" t="str">
        <f t="shared" si="20"/>
        <v>Low</v>
      </c>
    </row>
    <row r="440" spans="1:19">
      <c r="A440" s="14">
        <v>439</v>
      </c>
      <c r="B440" s="15">
        <v>40563</v>
      </c>
      <c r="C440" s="14">
        <v>1</v>
      </c>
      <c r="D440" s="14">
        <v>0</v>
      </c>
      <c r="E440" s="14">
        <v>1</v>
      </c>
      <c r="F440" s="14">
        <v>7</v>
      </c>
      <c r="G440" s="14" t="b">
        <v>0</v>
      </c>
      <c r="H440" s="14">
        <v>4</v>
      </c>
      <c r="I440" s="14">
        <v>1</v>
      </c>
      <c r="J440" s="14">
        <v>0.22</v>
      </c>
      <c r="K440">
        <f>VLOOKUP(A440,[1]dataset_2!B:H,2,FALSE)</f>
        <v>0.21210000000000001</v>
      </c>
      <c r="L440">
        <f>VLOOKUP(A440,[1]dataset_2!B:H,3,FALSE)</f>
        <v>0.55000000000000004</v>
      </c>
      <c r="M440">
        <f>VLOOKUP(A440,[1]dataset_2!B:H,4,FALSE)</f>
        <v>0.22389999999999999</v>
      </c>
      <c r="N440">
        <f>VLOOKUP(A440,[1]dataset_2!B:H,5,FALSE)</f>
        <v>1</v>
      </c>
      <c r="O440">
        <f>VLOOKUP(A440,[1]dataset_2!B:H,6,FALSE)</f>
        <v>100</v>
      </c>
      <c r="P440">
        <f>VLOOKUP(A440,[1]dataset_2!B:H,7,FALSE)</f>
        <v>101</v>
      </c>
      <c r="Q440" t="str">
        <f t="shared" si="18"/>
        <v>Weekday</v>
      </c>
      <c r="R440" t="str">
        <f t="shared" si="19"/>
        <v>Morning</v>
      </c>
      <c r="S440" t="str">
        <f t="shared" si="20"/>
        <v>High</v>
      </c>
    </row>
    <row r="441" spans="1:19">
      <c r="A441" s="14">
        <v>440</v>
      </c>
      <c r="B441" s="15">
        <v>40563</v>
      </c>
      <c r="C441" s="14">
        <v>1</v>
      </c>
      <c r="D441" s="14">
        <v>0</v>
      </c>
      <c r="E441" s="14">
        <v>1</v>
      </c>
      <c r="F441" s="14">
        <v>8</v>
      </c>
      <c r="G441" s="14" t="b">
        <v>0</v>
      </c>
      <c r="H441" s="14">
        <v>4</v>
      </c>
      <c r="I441" s="14">
        <v>1</v>
      </c>
      <c r="J441" s="14">
        <v>0.22</v>
      </c>
      <c r="K441">
        <f>VLOOKUP(A441,[1]dataset_2!B:H,2,FALSE)</f>
        <v>0.21210000000000001</v>
      </c>
      <c r="L441">
        <f>VLOOKUP(A441,[1]dataset_2!B:H,3,FALSE)</f>
        <v>0.55000000000000004</v>
      </c>
      <c r="M441">
        <f>VLOOKUP(A441,[1]dataset_2!B:H,4,FALSE)</f>
        <v>0.28360000000000002</v>
      </c>
      <c r="N441">
        <f>VLOOKUP(A441,[1]dataset_2!B:H,5,FALSE)</f>
        <v>2</v>
      </c>
      <c r="O441">
        <f>VLOOKUP(A441,[1]dataset_2!B:H,6,FALSE)</f>
        <v>247</v>
      </c>
      <c r="P441">
        <f>VLOOKUP(A441,[1]dataset_2!B:H,7,FALSE)</f>
        <v>249</v>
      </c>
      <c r="Q441" t="str">
        <f t="shared" si="18"/>
        <v>Weekday</v>
      </c>
      <c r="R441" t="str">
        <f t="shared" si="19"/>
        <v>Morning</v>
      </c>
      <c r="S441" t="str">
        <f t="shared" si="20"/>
        <v>High</v>
      </c>
    </row>
    <row r="442" spans="1:19">
      <c r="A442" s="14">
        <v>441</v>
      </c>
      <c r="B442" s="15">
        <v>40563</v>
      </c>
      <c r="C442" s="14">
        <v>1</v>
      </c>
      <c r="D442" s="14">
        <v>0</v>
      </c>
      <c r="E442" s="14">
        <v>1</v>
      </c>
      <c r="F442" s="14">
        <v>9</v>
      </c>
      <c r="G442" s="14" t="b">
        <v>0</v>
      </c>
      <c r="H442" s="14">
        <v>4</v>
      </c>
      <c r="I442" s="14">
        <v>2</v>
      </c>
      <c r="J442" s="14">
        <v>0.24</v>
      </c>
      <c r="K442">
        <f>VLOOKUP(A442,[1]dataset_2!B:H,2,FALSE)</f>
        <v>0.2273</v>
      </c>
      <c r="L442">
        <f>VLOOKUP(A442,[1]dataset_2!B:H,3,FALSE)</f>
        <v>0.52</v>
      </c>
      <c r="M442">
        <f>VLOOKUP(A442,[1]dataset_2!B:H,4,FALSE)</f>
        <v>0.22389999999999999</v>
      </c>
      <c r="N442">
        <f>VLOOKUP(A442,[1]dataset_2!B:H,5,FALSE)</f>
        <v>3</v>
      </c>
      <c r="O442">
        <f>VLOOKUP(A442,[1]dataset_2!B:H,6,FALSE)</f>
        <v>140</v>
      </c>
      <c r="P442">
        <f>VLOOKUP(A442,[1]dataset_2!B:H,7,FALSE)</f>
        <v>143</v>
      </c>
      <c r="Q442" t="str">
        <f t="shared" si="18"/>
        <v>Weekday</v>
      </c>
      <c r="R442" t="str">
        <f t="shared" si="19"/>
        <v>Morning</v>
      </c>
      <c r="S442" t="str">
        <f t="shared" si="20"/>
        <v>High</v>
      </c>
    </row>
    <row r="443" spans="1:19">
      <c r="A443" s="14">
        <v>442</v>
      </c>
      <c r="B443" s="15">
        <v>40563</v>
      </c>
      <c r="C443" s="14">
        <v>1</v>
      </c>
      <c r="D443" s="14">
        <v>0</v>
      </c>
      <c r="E443" s="14">
        <v>1</v>
      </c>
      <c r="F443" s="14">
        <v>10</v>
      </c>
      <c r="G443" s="14" t="b">
        <v>0</v>
      </c>
      <c r="H443" s="14">
        <v>4</v>
      </c>
      <c r="I443" s="14">
        <v>1</v>
      </c>
      <c r="J443" s="14">
        <v>0.26</v>
      </c>
      <c r="K443">
        <f>VLOOKUP(A443,[1]dataset_2!B:H,2,FALSE)</f>
        <v>0.2273</v>
      </c>
      <c r="L443">
        <f>VLOOKUP(A443,[1]dataset_2!B:H,3,FALSE)</f>
        <v>0.48</v>
      </c>
      <c r="M443">
        <f>VLOOKUP(A443,[1]dataset_2!B:H,4,FALSE)</f>
        <v>0.29849999999999999</v>
      </c>
      <c r="N443">
        <f>VLOOKUP(A443,[1]dataset_2!B:H,5,FALSE)</f>
        <v>1</v>
      </c>
      <c r="O443">
        <f>VLOOKUP(A443,[1]dataset_2!B:H,6,FALSE)</f>
        <v>56</v>
      </c>
      <c r="P443">
        <f>VLOOKUP(A443,[1]dataset_2!B:H,7,FALSE)</f>
        <v>57</v>
      </c>
      <c r="Q443" t="str">
        <f t="shared" si="18"/>
        <v>Weekday</v>
      </c>
      <c r="R443" t="str">
        <f t="shared" si="19"/>
        <v>Morning</v>
      </c>
      <c r="S443" t="str">
        <f t="shared" si="20"/>
        <v>Low</v>
      </c>
    </row>
    <row r="444" spans="1:19">
      <c r="A444" s="14">
        <v>443</v>
      </c>
      <c r="B444" s="15">
        <v>40563</v>
      </c>
      <c r="C444" s="14">
        <v>1</v>
      </c>
      <c r="D444" s="14">
        <v>0</v>
      </c>
      <c r="E444" s="14">
        <v>1</v>
      </c>
      <c r="F444" s="14">
        <v>11</v>
      </c>
      <c r="G444" s="14" t="b">
        <v>0</v>
      </c>
      <c r="H444" s="14">
        <v>4</v>
      </c>
      <c r="I444" s="14">
        <v>2</v>
      </c>
      <c r="J444" s="14">
        <v>0.28000000000000003</v>
      </c>
      <c r="K444">
        <f>VLOOKUP(A444,[1]dataset_2!B:H,2,FALSE)</f>
        <v>0.2727</v>
      </c>
      <c r="L444">
        <f>VLOOKUP(A444,[1]dataset_2!B:H,3,FALSE)</f>
        <v>0.45</v>
      </c>
      <c r="M444">
        <f>VLOOKUP(A444,[1]dataset_2!B:H,4,FALSE)</f>
        <v>0.16420000000000001</v>
      </c>
      <c r="N444">
        <f>VLOOKUP(A444,[1]dataset_2!B:H,5,FALSE)</f>
        <v>5</v>
      </c>
      <c r="O444">
        <f>VLOOKUP(A444,[1]dataset_2!B:H,6,FALSE)</f>
        <v>63</v>
      </c>
      <c r="P444">
        <f>VLOOKUP(A444,[1]dataset_2!B:H,7,FALSE)</f>
        <v>68</v>
      </c>
      <c r="Q444" t="str">
        <f t="shared" si="18"/>
        <v>Weekday</v>
      </c>
      <c r="R444" t="str">
        <f t="shared" si="19"/>
        <v>Morning</v>
      </c>
      <c r="S444" t="str">
        <f t="shared" si="20"/>
        <v>Low</v>
      </c>
    </row>
    <row r="445" spans="1:19">
      <c r="A445" s="14">
        <v>444</v>
      </c>
      <c r="B445" s="15">
        <v>40563</v>
      </c>
      <c r="C445" s="14">
        <v>1</v>
      </c>
      <c r="D445" s="14">
        <v>0</v>
      </c>
      <c r="E445" s="14">
        <v>1</v>
      </c>
      <c r="F445" s="14">
        <v>12</v>
      </c>
      <c r="G445" s="14" t="b">
        <v>0</v>
      </c>
      <c r="H445" s="14">
        <v>4</v>
      </c>
      <c r="I445" s="14">
        <v>2</v>
      </c>
      <c r="J445" s="14">
        <v>0.3</v>
      </c>
      <c r="K445">
        <f>VLOOKUP(A445,[1]dataset_2!B:H,2,FALSE)</f>
        <v>0.33329999999999999</v>
      </c>
      <c r="L445">
        <f>VLOOKUP(A445,[1]dataset_2!B:H,3,FALSE)</f>
        <v>0.42</v>
      </c>
      <c r="M445">
        <f>VLOOKUP(A445,[1]dataset_2!B:H,4,FALSE)</f>
        <v>0</v>
      </c>
      <c r="N445">
        <f>VLOOKUP(A445,[1]dataset_2!B:H,5,FALSE)</f>
        <v>7</v>
      </c>
      <c r="O445">
        <f>VLOOKUP(A445,[1]dataset_2!B:H,6,FALSE)</f>
        <v>77</v>
      </c>
      <c r="P445">
        <f>VLOOKUP(A445,[1]dataset_2!B:H,7,FALSE)</f>
        <v>84</v>
      </c>
      <c r="Q445" t="str">
        <f t="shared" si="18"/>
        <v>Weekday</v>
      </c>
      <c r="R445" t="str">
        <f t="shared" si="19"/>
        <v>Afternoon</v>
      </c>
      <c r="S445" t="str">
        <f t="shared" si="20"/>
        <v>Low</v>
      </c>
    </row>
    <row r="446" spans="1:19">
      <c r="A446" s="14">
        <v>445</v>
      </c>
      <c r="B446" s="15">
        <v>40563</v>
      </c>
      <c r="C446" s="14">
        <v>1</v>
      </c>
      <c r="D446" s="14">
        <v>0</v>
      </c>
      <c r="E446" s="14">
        <v>1</v>
      </c>
      <c r="F446" s="14">
        <v>13</v>
      </c>
      <c r="G446" s="14" t="b">
        <v>0</v>
      </c>
      <c r="H446" s="14">
        <v>4</v>
      </c>
      <c r="I446" s="14">
        <v>2</v>
      </c>
      <c r="J446" s="14">
        <v>0.28000000000000003</v>
      </c>
      <c r="K446">
        <f>VLOOKUP(A446,[1]dataset_2!B:H,2,FALSE)</f>
        <v>0.28789999999999999</v>
      </c>
      <c r="L446">
        <f>VLOOKUP(A446,[1]dataset_2!B:H,3,FALSE)</f>
        <v>0.45</v>
      </c>
      <c r="M446">
        <f>VLOOKUP(A446,[1]dataset_2!B:H,4,FALSE)</f>
        <v>0.1045</v>
      </c>
      <c r="N446">
        <f>VLOOKUP(A446,[1]dataset_2!B:H,5,FALSE)</f>
        <v>12</v>
      </c>
      <c r="O446">
        <f>VLOOKUP(A446,[1]dataset_2!B:H,6,FALSE)</f>
        <v>86</v>
      </c>
      <c r="P446">
        <f>VLOOKUP(A446,[1]dataset_2!B:H,7,FALSE)</f>
        <v>98</v>
      </c>
      <c r="Q446" t="str">
        <f t="shared" si="18"/>
        <v>Weekday</v>
      </c>
      <c r="R446" t="str">
        <f t="shared" si="19"/>
        <v>Afternoon</v>
      </c>
      <c r="S446" t="str">
        <f t="shared" si="20"/>
        <v>Low</v>
      </c>
    </row>
    <row r="447" spans="1:19">
      <c r="A447" s="14">
        <v>446</v>
      </c>
      <c r="B447" s="15">
        <v>40563</v>
      </c>
      <c r="C447" s="14">
        <v>1</v>
      </c>
      <c r="D447" s="14">
        <v>0</v>
      </c>
      <c r="E447" s="14">
        <v>1</v>
      </c>
      <c r="F447" s="14">
        <v>14</v>
      </c>
      <c r="G447" s="14" t="b">
        <v>0</v>
      </c>
      <c r="H447" s="14">
        <v>4</v>
      </c>
      <c r="I447" s="14">
        <v>2</v>
      </c>
      <c r="J447" s="14">
        <v>0.3</v>
      </c>
      <c r="K447">
        <f>VLOOKUP(A447,[1]dataset_2!B:H,2,FALSE)</f>
        <v>0.30299999999999999</v>
      </c>
      <c r="L447">
        <f>VLOOKUP(A447,[1]dataset_2!B:H,3,FALSE)</f>
        <v>0.45</v>
      </c>
      <c r="M447">
        <f>VLOOKUP(A447,[1]dataset_2!B:H,4,FALSE)</f>
        <v>0.1343</v>
      </c>
      <c r="N447">
        <f>VLOOKUP(A447,[1]dataset_2!B:H,5,FALSE)</f>
        <v>6</v>
      </c>
      <c r="O447">
        <f>VLOOKUP(A447,[1]dataset_2!B:H,6,FALSE)</f>
        <v>75</v>
      </c>
      <c r="P447">
        <f>VLOOKUP(A447,[1]dataset_2!B:H,7,FALSE)</f>
        <v>81</v>
      </c>
      <c r="Q447" t="str">
        <f t="shared" si="18"/>
        <v>Weekday</v>
      </c>
      <c r="R447" t="str">
        <f t="shared" si="19"/>
        <v>Afternoon</v>
      </c>
      <c r="S447" t="str">
        <f t="shared" si="20"/>
        <v>Low</v>
      </c>
    </row>
    <row r="448" spans="1:19">
      <c r="A448" s="14">
        <v>447</v>
      </c>
      <c r="B448" s="15">
        <v>40563</v>
      </c>
      <c r="C448" s="14">
        <v>1</v>
      </c>
      <c r="D448" s="14">
        <v>0</v>
      </c>
      <c r="E448" s="14">
        <v>1</v>
      </c>
      <c r="F448" s="14">
        <v>15</v>
      </c>
      <c r="G448" s="14" t="b">
        <v>0</v>
      </c>
      <c r="H448" s="14">
        <v>4</v>
      </c>
      <c r="I448" s="14">
        <v>2</v>
      </c>
      <c r="J448" s="14">
        <v>0.32</v>
      </c>
      <c r="K448">
        <f>VLOOKUP(A448,[1]dataset_2!B:H,2,FALSE)</f>
        <v>0.31819999999999998</v>
      </c>
      <c r="L448">
        <f>VLOOKUP(A448,[1]dataset_2!B:H,3,FALSE)</f>
        <v>0.45</v>
      </c>
      <c r="M448">
        <f>VLOOKUP(A448,[1]dataset_2!B:H,4,FALSE)</f>
        <v>0.19400000000000001</v>
      </c>
      <c r="N448">
        <f>VLOOKUP(A448,[1]dataset_2!B:H,5,FALSE)</f>
        <v>8</v>
      </c>
      <c r="O448">
        <f>VLOOKUP(A448,[1]dataset_2!B:H,6,FALSE)</f>
        <v>62</v>
      </c>
      <c r="P448">
        <f>VLOOKUP(A448,[1]dataset_2!B:H,7,FALSE)</f>
        <v>70</v>
      </c>
      <c r="Q448" t="str">
        <f t="shared" si="18"/>
        <v>Weekday</v>
      </c>
      <c r="R448" t="str">
        <f t="shared" si="19"/>
        <v>Afternoon</v>
      </c>
      <c r="S448" t="str">
        <f t="shared" si="20"/>
        <v>Low</v>
      </c>
    </row>
    <row r="449" spans="1:19">
      <c r="A449" s="14">
        <v>448</v>
      </c>
      <c r="B449" s="15">
        <v>40563</v>
      </c>
      <c r="C449" s="14">
        <v>1</v>
      </c>
      <c r="D449" s="14">
        <v>0</v>
      </c>
      <c r="E449" s="14">
        <v>1</v>
      </c>
      <c r="F449" s="14">
        <v>16</v>
      </c>
      <c r="G449" s="14" t="b">
        <v>0</v>
      </c>
      <c r="H449" s="14">
        <v>4</v>
      </c>
      <c r="I449" s="14">
        <v>2</v>
      </c>
      <c r="J449" s="14">
        <v>0.3</v>
      </c>
      <c r="K449">
        <f>VLOOKUP(A449,[1]dataset_2!B:H,2,FALSE)</f>
        <v>0.30299999999999999</v>
      </c>
      <c r="L449">
        <f>VLOOKUP(A449,[1]dataset_2!B:H,3,FALSE)</f>
        <v>0.49</v>
      </c>
      <c r="M449">
        <f>VLOOKUP(A449,[1]dataset_2!B:H,4,FALSE)</f>
        <v>0.1343</v>
      </c>
      <c r="N449">
        <f>VLOOKUP(A449,[1]dataset_2!B:H,5,FALSE)</f>
        <v>8</v>
      </c>
      <c r="O449">
        <f>VLOOKUP(A449,[1]dataset_2!B:H,6,FALSE)</f>
        <v>83</v>
      </c>
      <c r="P449">
        <f>VLOOKUP(A449,[1]dataset_2!B:H,7,FALSE)</f>
        <v>91</v>
      </c>
      <c r="Q449" t="str">
        <f t="shared" si="18"/>
        <v>Weekday</v>
      </c>
      <c r="R449" t="str">
        <f t="shared" si="19"/>
        <v>Afternoon</v>
      </c>
      <c r="S449" t="str">
        <f t="shared" si="20"/>
        <v>Low</v>
      </c>
    </row>
    <row r="450" spans="1:19">
      <c r="A450" s="14">
        <v>449</v>
      </c>
      <c r="B450" s="15">
        <v>40563</v>
      </c>
      <c r="C450" s="14">
        <v>1</v>
      </c>
      <c r="D450" s="14">
        <v>0</v>
      </c>
      <c r="E450" s="14">
        <v>1</v>
      </c>
      <c r="F450" s="14">
        <v>17</v>
      </c>
      <c r="G450" s="14" t="b">
        <v>0</v>
      </c>
      <c r="H450" s="14">
        <v>4</v>
      </c>
      <c r="I450" s="14">
        <v>2</v>
      </c>
      <c r="J450" s="14">
        <v>0.3</v>
      </c>
      <c r="K450">
        <f>VLOOKUP(A450,[1]dataset_2!B:H,2,FALSE)</f>
        <v>0.31819999999999998</v>
      </c>
      <c r="L450">
        <f>VLOOKUP(A450,[1]dataset_2!B:H,3,FALSE)</f>
        <v>0.49</v>
      </c>
      <c r="M450">
        <f>VLOOKUP(A450,[1]dataset_2!B:H,4,FALSE)</f>
        <v>0.1045</v>
      </c>
      <c r="N450">
        <f>VLOOKUP(A450,[1]dataset_2!B:H,5,FALSE)</f>
        <v>8</v>
      </c>
      <c r="O450">
        <f>VLOOKUP(A450,[1]dataset_2!B:H,6,FALSE)</f>
        <v>207</v>
      </c>
      <c r="P450">
        <f>VLOOKUP(A450,[1]dataset_2!B:H,7,FALSE)</f>
        <v>215</v>
      </c>
      <c r="Q450" t="str">
        <f t="shared" si="18"/>
        <v>Weekday</v>
      </c>
      <c r="R450" t="str">
        <f t="shared" si="19"/>
        <v>Afternoon</v>
      </c>
      <c r="S450" t="str">
        <f t="shared" si="20"/>
        <v>High</v>
      </c>
    </row>
    <row r="451" spans="1:19">
      <c r="A451" s="14">
        <v>450</v>
      </c>
      <c r="B451" s="15">
        <v>40563</v>
      </c>
      <c r="C451" s="14">
        <v>1</v>
      </c>
      <c r="D451" s="14">
        <v>0</v>
      </c>
      <c r="E451" s="14">
        <v>1</v>
      </c>
      <c r="F451" s="14">
        <v>18</v>
      </c>
      <c r="G451" s="14" t="b">
        <v>0</v>
      </c>
      <c r="H451" s="14">
        <v>4</v>
      </c>
      <c r="I451" s="14">
        <v>2</v>
      </c>
      <c r="J451" s="14">
        <v>0.26</v>
      </c>
      <c r="K451">
        <f>VLOOKUP(A451,[1]dataset_2!B:H,2,FALSE)</f>
        <v>0.2576</v>
      </c>
      <c r="L451">
        <f>VLOOKUP(A451,[1]dataset_2!B:H,3,FALSE)</f>
        <v>0.56000000000000005</v>
      </c>
      <c r="M451">
        <f>VLOOKUP(A451,[1]dataset_2!B:H,4,FALSE)</f>
        <v>0.19400000000000001</v>
      </c>
      <c r="N451">
        <f>VLOOKUP(A451,[1]dataset_2!B:H,5,FALSE)</f>
        <v>1</v>
      </c>
      <c r="O451">
        <f>VLOOKUP(A451,[1]dataset_2!B:H,6,FALSE)</f>
        <v>184</v>
      </c>
      <c r="P451">
        <f>VLOOKUP(A451,[1]dataset_2!B:H,7,FALSE)</f>
        <v>185</v>
      </c>
      <c r="Q451" t="str">
        <f t="shared" ref="Q451:Q514" si="21">IF(OR(H451=0,H451=6),"Weekend","Weekday")</f>
        <v>Weekday</v>
      </c>
      <c r="R451" t="str">
        <f t="shared" ref="R451:R514" si="22">IF(F451&lt;12,"Morning",IF(F451&lt;18,"Afternoon","Evening"))</f>
        <v>Evening</v>
      </c>
      <c r="S451" t="str">
        <f t="shared" ref="S451:S514" si="23">IF(P451&gt;100,"High","Low")</f>
        <v>High</v>
      </c>
    </row>
    <row r="452" spans="1:19">
      <c r="A452" s="14">
        <v>451</v>
      </c>
      <c r="B452" s="15">
        <v>40563</v>
      </c>
      <c r="C452" s="14">
        <v>1</v>
      </c>
      <c r="D452" s="14">
        <v>0</v>
      </c>
      <c r="E452" s="14">
        <v>1</v>
      </c>
      <c r="F452" s="14">
        <v>19</v>
      </c>
      <c r="G452" s="14" t="b">
        <v>0</v>
      </c>
      <c r="H452" s="14">
        <v>4</v>
      </c>
      <c r="I452" s="14">
        <v>1</v>
      </c>
      <c r="J452" s="14">
        <v>0.26</v>
      </c>
      <c r="K452">
        <f>VLOOKUP(A452,[1]dataset_2!B:H,2,FALSE)</f>
        <v>0.2273</v>
      </c>
      <c r="L452">
        <f>VLOOKUP(A452,[1]dataset_2!B:H,3,FALSE)</f>
        <v>0.56000000000000005</v>
      </c>
      <c r="M452">
        <f>VLOOKUP(A452,[1]dataset_2!B:H,4,FALSE)</f>
        <v>0.32840000000000003</v>
      </c>
      <c r="N452">
        <f>VLOOKUP(A452,[1]dataset_2!B:H,5,FALSE)</f>
        <v>6</v>
      </c>
      <c r="O452">
        <f>VLOOKUP(A452,[1]dataset_2!B:H,6,FALSE)</f>
        <v>146</v>
      </c>
      <c r="P452">
        <f>VLOOKUP(A452,[1]dataset_2!B:H,7,FALSE)</f>
        <v>152</v>
      </c>
      <c r="Q452" t="str">
        <f t="shared" si="21"/>
        <v>Weekday</v>
      </c>
      <c r="R452" t="str">
        <f t="shared" si="22"/>
        <v>Evening</v>
      </c>
      <c r="S452" t="str">
        <f t="shared" si="23"/>
        <v>High</v>
      </c>
    </row>
    <row r="453" spans="1:19">
      <c r="A453" s="14">
        <v>452</v>
      </c>
      <c r="B453" s="15">
        <v>40563</v>
      </c>
      <c r="C453" s="14">
        <v>1</v>
      </c>
      <c r="D453" s="14">
        <v>0</v>
      </c>
      <c r="E453" s="14">
        <v>1</v>
      </c>
      <c r="F453" s="14">
        <v>20</v>
      </c>
      <c r="G453" s="14" t="b">
        <v>0</v>
      </c>
      <c r="H453" s="14">
        <v>4</v>
      </c>
      <c r="I453" s="14">
        <v>2</v>
      </c>
      <c r="J453" s="14">
        <v>0.26</v>
      </c>
      <c r="K453">
        <f>VLOOKUP(A453,[1]dataset_2!B:H,2,FALSE)</f>
        <v>0.2424</v>
      </c>
      <c r="L453">
        <f>VLOOKUP(A453,[1]dataset_2!B:H,3,FALSE)</f>
        <v>0.6</v>
      </c>
      <c r="M453">
        <f>VLOOKUP(A453,[1]dataset_2!B:H,4,FALSE)</f>
        <v>0.28360000000000002</v>
      </c>
      <c r="N453">
        <f>VLOOKUP(A453,[1]dataset_2!B:H,5,FALSE)</f>
        <v>2</v>
      </c>
      <c r="O453">
        <f>VLOOKUP(A453,[1]dataset_2!B:H,6,FALSE)</f>
        <v>124</v>
      </c>
      <c r="P453">
        <f>VLOOKUP(A453,[1]dataset_2!B:H,7,FALSE)</f>
        <v>126</v>
      </c>
      <c r="Q453" t="str">
        <f t="shared" si="21"/>
        <v>Weekday</v>
      </c>
      <c r="R453" t="str">
        <f t="shared" si="22"/>
        <v>Evening</v>
      </c>
      <c r="S453" t="str">
        <f t="shared" si="23"/>
        <v>High</v>
      </c>
    </row>
    <row r="454" spans="1:19">
      <c r="A454" s="14">
        <v>453</v>
      </c>
      <c r="B454" s="15">
        <v>40563</v>
      </c>
      <c r="C454" s="14">
        <v>1</v>
      </c>
      <c r="D454" s="14">
        <v>0</v>
      </c>
      <c r="E454" s="14">
        <v>1</v>
      </c>
      <c r="F454" s="14">
        <v>21</v>
      </c>
      <c r="G454" s="14" t="b">
        <v>0</v>
      </c>
      <c r="H454" s="14">
        <v>4</v>
      </c>
      <c r="I454" s="14">
        <v>2</v>
      </c>
      <c r="J454" s="14">
        <v>0.24</v>
      </c>
      <c r="K454">
        <f>VLOOKUP(A454,[1]dataset_2!B:H,2,FALSE)</f>
        <v>0.2273</v>
      </c>
      <c r="L454">
        <f>VLOOKUP(A454,[1]dataset_2!B:H,3,FALSE)</f>
        <v>0.6</v>
      </c>
      <c r="M454">
        <f>VLOOKUP(A454,[1]dataset_2!B:H,4,FALSE)</f>
        <v>0.25369999999999998</v>
      </c>
      <c r="N454">
        <f>VLOOKUP(A454,[1]dataset_2!B:H,5,FALSE)</f>
        <v>3</v>
      </c>
      <c r="O454">
        <f>VLOOKUP(A454,[1]dataset_2!B:H,6,FALSE)</f>
        <v>54</v>
      </c>
      <c r="P454">
        <f>VLOOKUP(A454,[1]dataset_2!B:H,7,FALSE)</f>
        <v>57</v>
      </c>
      <c r="Q454" t="str">
        <f t="shared" si="21"/>
        <v>Weekday</v>
      </c>
      <c r="R454" t="str">
        <f t="shared" si="22"/>
        <v>Evening</v>
      </c>
      <c r="S454" t="str">
        <f t="shared" si="23"/>
        <v>Low</v>
      </c>
    </row>
    <row r="455" spans="1:19">
      <c r="A455" s="14">
        <v>454</v>
      </c>
      <c r="B455" s="15">
        <v>40563</v>
      </c>
      <c r="C455" s="14">
        <v>1</v>
      </c>
      <c r="D455" s="14">
        <v>0</v>
      </c>
      <c r="E455" s="14">
        <v>1</v>
      </c>
      <c r="F455" s="14">
        <v>22</v>
      </c>
      <c r="G455" s="14" t="b">
        <v>0</v>
      </c>
      <c r="H455" s="14">
        <v>4</v>
      </c>
      <c r="I455" s="14">
        <v>2</v>
      </c>
      <c r="J455" s="14">
        <v>0.24</v>
      </c>
      <c r="K455">
        <f>VLOOKUP(A455,[1]dataset_2!B:H,2,FALSE)</f>
        <v>0.21210000000000001</v>
      </c>
      <c r="L455">
        <f>VLOOKUP(A455,[1]dataset_2!B:H,3,FALSE)</f>
        <v>0.65</v>
      </c>
      <c r="M455">
        <f>VLOOKUP(A455,[1]dataset_2!B:H,4,FALSE)</f>
        <v>0.28360000000000002</v>
      </c>
      <c r="N455">
        <f>VLOOKUP(A455,[1]dataset_2!B:H,5,FALSE)</f>
        <v>0</v>
      </c>
      <c r="O455">
        <f>VLOOKUP(A455,[1]dataset_2!B:H,6,FALSE)</f>
        <v>56</v>
      </c>
      <c r="P455">
        <f>VLOOKUP(A455,[1]dataset_2!B:H,7,FALSE)</f>
        <v>56</v>
      </c>
      <c r="Q455" t="str">
        <f t="shared" si="21"/>
        <v>Weekday</v>
      </c>
      <c r="R455" t="str">
        <f t="shared" si="22"/>
        <v>Evening</v>
      </c>
      <c r="S455" t="str">
        <f t="shared" si="23"/>
        <v>Low</v>
      </c>
    </row>
    <row r="456" spans="1:19">
      <c r="A456" s="14">
        <v>455</v>
      </c>
      <c r="B456" s="15">
        <v>40563</v>
      </c>
      <c r="C456" s="14">
        <v>1</v>
      </c>
      <c r="D456" s="14">
        <v>0</v>
      </c>
      <c r="E456" s="14">
        <v>1</v>
      </c>
      <c r="F456" s="14">
        <v>23</v>
      </c>
      <c r="G456" s="14" t="b">
        <v>0</v>
      </c>
      <c r="H456" s="14">
        <v>4</v>
      </c>
      <c r="I456" s="14">
        <v>2</v>
      </c>
      <c r="J456" s="14">
        <v>0.24</v>
      </c>
      <c r="K456">
        <f>VLOOKUP(A456,[1]dataset_2!B:H,2,FALSE)</f>
        <v>0.21210000000000001</v>
      </c>
      <c r="L456">
        <f>VLOOKUP(A456,[1]dataset_2!B:H,3,FALSE)</f>
        <v>0.65</v>
      </c>
      <c r="M456">
        <f>VLOOKUP(A456,[1]dataset_2!B:H,4,FALSE)</f>
        <v>0.32840000000000003</v>
      </c>
      <c r="N456">
        <f>VLOOKUP(A456,[1]dataset_2!B:H,5,FALSE)</f>
        <v>3</v>
      </c>
      <c r="O456">
        <f>VLOOKUP(A456,[1]dataset_2!B:H,6,FALSE)</f>
        <v>28</v>
      </c>
      <c r="P456">
        <f>VLOOKUP(A456,[1]dataset_2!B:H,7,FALSE)</f>
        <v>31</v>
      </c>
      <c r="Q456" t="str">
        <f t="shared" si="21"/>
        <v>Weekday</v>
      </c>
      <c r="R456" t="str">
        <f t="shared" si="22"/>
        <v>Evening</v>
      </c>
      <c r="S456" t="str">
        <f t="shared" si="23"/>
        <v>Low</v>
      </c>
    </row>
    <row r="457" spans="1:19">
      <c r="A457" s="14">
        <v>456</v>
      </c>
      <c r="B457" s="15">
        <v>40564</v>
      </c>
      <c r="C457" s="14">
        <v>1</v>
      </c>
      <c r="D457" s="14">
        <v>0</v>
      </c>
      <c r="E457" s="14">
        <v>1</v>
      </c>
      <c r="F457" s="14">
        <v>0</v>
      </c>
      <c r="G457" s="14" t="b">
        <v>0</v>
      </c>
      <c r="H457" s="14">
        <v>5</v>
      </c>
      <c r="I457" s="14">
        <v>2</v>
      </c>
      <c r="J457" s="14">
        <v>0.24</v>
      </c>
      <c r="K457">
        <f>VLOOKUP(A457,[1]dataset_2!B:H,2,FALSE)</f>
        <v>0.2273</v>
      </c>
      <c r="L457">
        <f>VLOOKUP(A457,[1]dataset_2!B:H,3,FALSE)</f>
        <v>0.7</v>
      </c>
      <c r="M457">
        <f>VLOOKUP(A457,[1]dataset_2!B:H,4,FALSE)</f>
        <v>0.25369999999999998</v>
      </c>
      <c r="N457">
        <f>VLOOKUP(A457,[1]dataset_2!B:H,5,FALSE)</f>
        <v>1</v>
      </c>
      <c r="O457">
        <f>VLOOKUP(A457,[1]dataset_2!B:H,6,FALSE)</f>
        <v>20</v>
      </c>
      <c r="P457">
        <f>VLOOKUP(A457,[1]dataset_2!B:H,7,FALSE)</f>
        <v>21</v>
      </c>
      <c r="Q457" t="str">
        <f t="shared" si="21"/>
        <v>Weekday</v>
      </c>
      <c r="R457" t="str">
        <f t="shared" si="22"/>
        <v>Morning</v>
      </c>
      <c r="S457" t="str">
        <f t="shared" si="23"/>
        <v>Low</v>
      </c>
    </row>
    <row r="458" spans="1:19">
      <c r="A458" s="14">
        <v>457</v>
      </c>
      <c r="B458" s="15">
        <v>40564</v>
      </c>
      <c r="C458" s="14">
        <v>1</v>
      </c>
      <c r="D458" s="14">
        <v>0</v>
      </c>
      <c r="E458" s="14">
        <v>1</v>
      </c>
      <c r="F458" s="14">
        <v>1</v>
      </c>
      <c r="G458" s="14" t="b">
        <v>0</v>
      </c>
      <c r="H458" s="14">
        <v>5</v>
      </c>
      <c r="I458" s="14">
        <v>2</v>
      </c>
      <c r="J458" s="14">
        <v>0.24</v>
      </c>
      <c r="K458">
        <f>VLOOKUP(A458,[1]dataset_2!B:H,2,FALSE)</f>
        <v>0.2273</v>
      </c>
      <c r="L458">
        <f>VLOOKUP(A458,[1]dataset_2!B:H,3,FALSE)</f>
        <v>0.7</v>
      </c>
      <c r="M458">
        <f>VLOOKUP(A458,[1]dataset_2!B:H,4,FALSE)</f>
        <v>0.25369999999999998</v>
      </c>
      <c r="N458">
        <f>VLOOKUP(A458,[1]dataset_2!B:H,5,FALSE)</f>
        <v>0</v>
      </c>
      <c r="O458">
        <f>VLOOKUP(A458,[1]dataset_2!B:H,6,FALSE)</f>
        <v>6</v>
      </c>
      <c r="P458">
        <f>VLOOKUP(A458,[1]dataset_2!B:H,7,FALSE)</f>
        <v>6</v>
      </c>
      <c r="Q458" t="str">
        <f t="shared" si="21"/>
        <v>Weekday</v>
      </c>
      <c r="R458" t="str">
        <f t="shared" si="22"/>
        <v>Morning</v>
      </c>
      <c r="S458" t="str">
        <f t="shared" si="23"/>
        <v>Low</v>
      </c>
    </row>
    <row r="459" spans="1:19">
      <c r="A459" s="14">
        <v>458</v>
      </c>
      <c r="B459" s="15">
        <v>40564</v>
      </c>
      <c r="C459" s="14">
        <v>1</v>
      </c>
      <c r="D459" s="14">
        <v>0</v>
      </c>
      <c r="E459" s="14">
        <v>1</v>
      </c>
      <c r="F459" s="14">
        <v>2</v>
      </c>
      <c r="G459" s="14" t="b">
        <v>0</v>
      </c>
      <c r="H459" s="14">
        <v>5</v>
      </c>
      <c r="I459" s="14">
        <v>3</v>
      </c>
      <c r="J459" s="14">
        <v>0.24</v>
      </c>
      <c r="K459">
        <f>VLOOKUP(A459,[1]dataset_2!B:H,2,FALSE)</f>
        <v>0.2424</v>
      </c>
      <c r="L459">
        <f>VLOOKUP(A459,[1]dataset_2!B:H,3,FALSE)</f>
        <v>0.75</v>
      </c>
      <c r="M459">
        <f>VLOOKUP(A459,[1]dataset_2!B:H,4,FALSE)</f>
        <v>0.16420000000000001</v>
      </c>
      <c r="N459">
        <f>VLOOKUP(A459,[1]dataset_2!B:H,5,FALSE)</f>
        <v>0</v>
      </c>
      <c r="O459">
        <f>VLOOKUP(A459,[1]dataset_2!B:H,6,FALSE)</f>
        <v>2</v>
      </c>
      <c r="P459">
        <f>VLOOKUP(A459,[1]dataset_2!B:H,7,FALSE)</f>
        <v>2</v>
      </c>
      <c r="Q459" t="str">
        <f t="shared" si="21"/>
        <v>Weekday</v>
      </c>
      <c r="R459" t="str">
        <f t="shared" si="22"/>
        <v>Morning</v>
      </c>
      <c r="S459" t="str">
        <f t="shared" si="23"/>
        <v>Low</v>
      </c>
    </row>
    <row r="460" spans="1:19">
      <c r="A460" s="14">
        <v>459</v>
      </c>
      <c r="B460" s="15">
        <v>40564</v>
      </c>
      <c r="C460" s="14">
        <v>1</v>
      </c>
      <c r="D460" s="14">
        <v>0</v>
      </c>
      <c r="E460" s="14">
        <v>1</v>
      </c>
      <c r="F460" s="14">
        <v>3</v>
      </c>
      <c r="G460" s="14" t="b">
        <v>0</v>
      </c>
      <c r="H460" s="14">
        <v>5</v>
      </c>
      <c r="I460" s="14">
        <v>3</v>
      </c>
      <c r="J460" s="14">
        <v>0.22</v>
      </c>
      <c r="K460">
        <f>VLOOKUP(A460,[1]dataset_2!B:H,2,FALSE)</f>
        <v>0.21210000000000001</v>
      </c>
      <c r="L460">
        <f>VLOOKUP(A460,[1]dataset_2!B:H,3,FALSE)</f>
        <v>0.8</v>
      </c>
      <c r="M460">
        <f>VLOOKUP(A460,[1]dataset_2!B:H,4,FALSE)</f>
        <v>0.29849999999999999</v>
      </c>
      <c r="N460">
        <f>VLOOKUP(A460,[1]dataset_2!B:H,5,FALSE)</f>
        <v>0</v>
      </c>
      <c r="O460">
        <f>VLOOKUP(A460,[1]dataset_2!B:H,6,FALSE)</f>
        <v>1</v>
      </c>
      <c r="P460">
        <f>VLOOKUP(A460,[1]dataset_2!B:H,7,FALSE)</f>
        <v>1</v>
      </c>
      <c r="Q460" t="str">
        <f t="shared" si="21"/>
        <v>Weekday</v>
      </c>
      <c r="R460" t="str">
        <f t="shared" si="22"/>
        <v>Morning</v>
      </c>
      <c r="S460" t="str">
        <f t="shared" si="23"/>
        <v>Low</v>
      </c>
    </row>
    <row r="461" spans="1:19">
      <c r="A461" s="14">
        <v>460</v>
      </c>
      <c r="B461" s="15">
        <v>40564</v>
      </c>
      <c r="C461" s="14">
        <v>1</v>
      </c>
      <c r="D461" s="14">
        <v>0</v>
      </c>
      <c r="E461" s="14">
        <v>1</v>
      </c>
      <c r="F461" s="14">
        <v>4</v>
      </c>
      <c r="G461" s="14" t="b">
        <v>0</v>
      </c>
      <c r="H461" s="14">
        <v>5</v>
      </c>
      <c r="I461" s="14">
        <v>2</v>
      </c>
      <c r="J461" s="14">
        <v>0.22</v>
      </c>
      <c r="K461">
        <f>VLOOKUP(A461,[1]dataset_2!B:H,2,FALSE)</f>
        <v>0.2576</v>
      </c>
      <c r="L461">
        <f>VLOOKUP(A461,[1]dataset_2!B:H,3,FALSE)</f>
        <v>0.87</v>
      </c>
      <c r="M461">
        <f>VLOOKUP(A461,[1]dataset_2!B:H,4,FALSE)</f>
        <v>8.9599999999999999E-2</v>
      </c>
      <c r="N461">
        <f>VLOOKUP(A461,[1]dataset_2!B:H,5,FALSE)</f>
        <v>0</v>
      </c>
      <c r="O461">
        <f>VLOOKUP(A461,[1]dataset_2!B:H,6,FALSE)</f>
        <v>1</v>
      </c>
      <c r="P461">
        <f>VLOOKUP(A461,[1]dataset_2!B:H,7,FALSE)</f>
        <v>1</v>
      </c>
      <c r="Q461" t="str">
        <f t="shared" si="21"/>
        <v>Weekday</v>
      </c>
      <c r="R461" t="str">
        <f t="shared" si="22"/>
        <v>Morning</v>
      </c>
      <c r="S461" t="str">
        <f t="shared" si="23"/>
        <v>Low</v>
      </c>
    </row>
    <row r="462" spans="1:19">
      <c r="A462" s="14">
        <v>461</v>
      </c>
      <c r="B462" s="15">
        <v>40564</v>
      </c>
      <c r="C462" s="14">
        <v>1</v>
      </c>
      <c r="D462" s="14">
        <v>0</v>
      </c>
      <c r="E462" s="14">
        <v>1</v>
      </c>
      <c r="F462" s="14">
        <v>5</v>
      </c>
      <c r="G462" s="14" t="b">
        <v>0</v>
      </c>
      <c r="H462" s="14">
        <v>5</v>
      </c>
      <c r="I462" s="14">
        <v>1</v>
      </c>
      <c r="J462" s="14">
        <v>0.24</v>
      </c>
      <c r="K462">
        <f>VLOOKUP(A462,[1]dataset_2!B:H,2,FALSE)</f>
        <v>0.19700000000000001</v>
      </c>
      <c r="L462">
        <f>VLOOKUP(A462,[1]dataset_2!B:H,3,FALSE)</f>
        <v>0.6</v>
      </c>
      <c r="M462">
        <f>VLOOKUP(A462,[1]dataset_2!B:H,4,FALSE)</f>
        <v>0.41789999999999999</v>
      </c>
      <c r="N462">
        <f>VLOOKUP(A462,[1]dataset_2!B:H,5,FALSE)</f>
        <v>1</v>
      </c>
      <c r="O462">
        <f>VLOOKUP(A462,[1]dataset_2!B:H,6,FALSE)</f>
        <v>4</v>
      </c>
      <c r="P462">
        <f>VLOOKUP(A462,[1]dataset_2!B:H,7,FALSE)</f>
        <v>5</v>
      </c>
      <c r="Q462" t="str">
        <f t="shared" si="21"/>
        <v>Weekday</v>
      </c>
      <c r="R462" t="str">
        <f t="shared" si="22"/>
        <v>Morning</v>
      </c>
      <c r="S462" t="str">
        <f t="shared" si="23"/>
        <v>Low</v>
      </c>
    </row>
    <row r="463" spans="1:19">
      <c r="A463" s="14">
        <v>462</v>
      </c>
      <c r="B463" s="15">
        <v>40564</v>
      </c>
      <c r="C463" s="14">
        <v>1</v>
      </c>
      <c r="D463" s="14">
        <v>0</v>
      </c>
      <c r="E463" s="14">
        <v>1</v>
      </c>
      <c r="F463" s="14">
        <v>6</v>
      </c>
      <c r="G463" s="14" t="b">
        <v>0</v>
      </c>
      <c r="H463" s="14">
        <v>5</v>
      </c>
      <c r="I463" s="14">
        <v>1</v>
      </c>
      <c r="J463" s="14">
        <v>0.22</v>
      </c>
      <c r="K463">
        <f>VLOOKUP(A463,[1]dataset_2!B:H,2,FALSE)</f>
        <v>0.21210000000000001</v>
      </c>
      <c r="L463">
        <f>VLOOKUP(A463,[1]dataset_2!B:H,3,FALSE)</f>
        <v>0.55000000000000004</v>
      </c>
      <c r="M463">
        <f>VLOOKUP(A463,[1]dataset_2!B:H,4,FALSE)</f>
        <v>0.25369999999999998</v>
      </c>
      <c r="N463">
        <f>VLOOKUP(A463,[1]dataset_2!B:H,5,FALSE)</f>
        <v>0</v>
      </c>
      <c r="O463">
        <f>VLOOKUP(A463,[1]dataset_2!B:H,6,FALSE)</f>
        <v>27</v>
      </c>
      <c r="P463">
        <f>VLOOKUP(A463,[1]dataset_2!B:H,7,FALSE)</f>
        <v>27</v>
      </c>
      <c r="Q463" t="str">
        <f t="shared" si="21"/>
        <v>Weekday</v>
      </c>
      <c r="R463" t="str">
        <f t="shared" si="22"/>
        <v>Morning</v>
      </c>
      <c r="S463" t="str">
        <f t="shared" si="23"/>
        <v>Low</v>
      </c>
    </row>
    <row r="464" spans="1:19">
      <c r="A464" s="14">
        <v>463</v>
      </c>
      <c r="B464" s="15">
        <v>40564</v>
      </c>
      <c r="C464" s="14">
        <v>1</v>
      </c>
      <c r="D464" s="14">
        <v>0</v>
      </c>
      <c r="E464" s="14">
        <v>1</v>
      </c>
      <c r="F464" s="14">
        <v>7</v>
      </c>
      <c r="G464" s="14" t="b">
        <v>0</v>
      </c>
      <c r="H464" s="14">
        <v>5</v>
      </c>
      <c r="I464" s="14">
        <v>1</v>
      </c>
      <c r="J464" s="14">
        <v>0.2</v>
      </c>
      <c r="K464">
        <f>VLOOKUP(A464,[1]dataset_2!B:H,2,FALSE)</f>
        <v>0.18179999999999999</v>
      </c>
      <c r="L464">
        <f>VLOOKUP(A464,[1]dataset_2!B:H,3,FALSE)</f>
        <v>0.51</v>
      </c>
      <c r="M464">
        <f>VLOOKUP(A464,[1]dataset_2!B:H,4,FALSE)</f>
        <v>0.28360000000000002</v>
      </c>
      <c r="N464">
        <f>VLOOKUP(A464,[1]dataset_2!B:H,5,FALSE)</f>
        <v>2</v>
      </c>
      <c r="O464">
        <f>VLOOKUP(A464,[1]dataset_2!B:H,6,FALSE)</f>
        <v>66</v>
      </c>
      <c r="P464">
        <f>VLOOKUP(A464,[1]dataset_2!B:H,7,FALSE)</f>
        <v>68</v>
      </c>
      <c r="Q464" t="str">
        <f t="shared" si="21"/>
        <v>Weekday</v>
      </c>
      <c r="R464" t="str">
        <f t="shared" si="22"/>
        <v>Morning</v>
      </c>
      <c r="S464" t="str">
        <f t="shared" si="23"/>
        <v>Low</v>
      </c>
    </row>
    <row r="465" spans="1:19">
      <c r="A465" s="14">
        <v>464</v>
      </c>
      <c r="B465" s="15">
        <v>40564</v>
      </c>
      <c r="C465" s="14">
        <v>1</v>
      </c>
      <c r="D465" s="14">
        <v>0</v>
      </c>
      <c r="E465" s="14">
        <v>1</v>
      </c>
      <c r="F465" s="14">
        <v>8</v>
      </c>
      <c r="G465" s="14" t="b">
        <v>0</v>
      </c>
      <c r="H465" s="14">
        <v>5</v>
      </c>
      <c r="I465" s="14">
        <v>1</v>
      </c>
      <c r="J465" s="14">
        <v>0.2</v>
      </c>
      <c r="K465">
        <f>VLOOKUP(A465,[1]dataset_2!B:H,2,FALSE)</f>
        <v>0.18179999999999999</v>
      </c>
      <c r="L465">
        <f>VLOOKUP(A465,[1]dataset_2!B:H,3,FALSE)</f>
        <v>0.47</v>
      </c>
      <c r="M465">
        <f>VLOOKUP(A465,[1]dataset_2!B:H,4,FALSE)</f>
        <v>0.32840000000000003</v>
      </c>
      <c r="N465">
        <f>VLOOKUP(A465,[1]dataset_2!B:H,5,FALSE)</f>
        <v>7</v>
      </c>
      <c r="O465">
        <f>VLOOKUP(A465,[1]dataset_2!B:H,6,FALSE)</f>
        <v>210</v>
      </c>
      <c r="P465">
        <f>VLOOKUP(A465,[1]dataset_2!B:H,7,FALSE)</f>
        <v>217</v>
      </c>
      <c r="Q465" t="str">
        <f t="shared" si="21"/>
        <v>Weekday</v>
      </c>
      <c r="R465" t="str">
        <f t="shared" si="22"/>
        <v>Morning</v>
      </c>
      <c r="S465" t="str">
        <f t="shared" si="23"/>
        <v>High</v>
      </c>
    </row>
    <row r="466" spans="1:19">
      <c r="A466" s="14">
        <v>465</v>
      </c>
      <c r="B466" s="15">
        <v>40564</v>
      </c>
      <c r="C466" s="14">
        <v>1</v>
      </c>
      <c r="D466" s="14">
        <v>0</v>
      </c>
      <c r="E466" s="14">
        <v>1</v>
      </c>
      <c r="F466" s="14">
        <v>9</v>
      </c>
      <c r="G466" s="14" t="b">
        <v>0</v>
      </c>
      <c r="H466" s="14">
        <v>5</v>
      </c>
      <c r="I466" s="14">
        <v>1</v>
      </c>
      <c r="J466" s="14">
        <v>0.2</v>
      </c>
      <c r="K466">
        <f>VLOOKUP(A466,[1]dataset_2!B:H,2,FALSE)</f>
        <v>0.18179999999999999</v>
      </c>
      <c r="L466">
        <f>VLOOKUP(A466,[1]dataset_2!B:H,3,FALSE)</f>
        <v>0.51</v>
      </c>
      <c r="M466">
        <f>VLOOKUP(A466,[1]dataset_2!B:H,4,FALSE)</f>
        <v>0.35820000000000002</v>
      </c>
      <c r="N466">
        <f>VLOOKUP(A466,[1]dataset_2!B:H,5,FALSE)</f>
        <v>7</v>
      </c>
      <c r="O466">
        <f>VLOOKUP(A466,[1]dataset_2!B:H,6,FALSE)</f>
        <v>159</v>
      </c>
      <c r="P466">
        <f>VLOOKUP(A466,[1]dataset_2!B:H,7,FALSE)</f>
        <v>166</v>
      </c>
      <c r="Q466" t="str">
        <f t="shared" si="21"/>
        <v>Weekday</v>
      </c>
      <c r="R466" t="str">
        <f t="shared" si="22"/>
        <v>Morning</v>
      </c>
      <c r="S466" t="str">
        <f t="shared" si="23"/>
        <v>High</v>
      </c>
    </row>
    <row r="467" spans="1:19">
      <c r="A467" s="14">
        <v>466</v>
      </c>
      <c r="B467" s="15">
        <v>40564</v>
      </c>
      <c r="C467" s="14">
        <v>1</v>
      </c>
      <c r="D467" s="14">
        <v>0</v>
      </c>
      <c r="E467" s="14">
        <v>1</v>
      </c>
      <c r="F467" s="14">
        <v>10</v>
      </c>
      <c r="G467" s="14" t="b">
        <v>0</v>
      </c>
      <c r="H467" s="14">
        <v>5</v>
      </c>
      <c r="I467" s="14">
        <v>1</v>
      </c>
      <c r="J467" s="14">
        <v>0.2</v>
      </c>
      <c r="K467">
        <f>VLOOKUP(A467,[1]dataset_2!B:H,2,FALSE)</f>
        <v>0.16669999999999999</v>
      </c>
      <c r="L467">
        <f>VLOOKUP(A467,[1]dataset_2!B:H,3,FALSE)</f>
        <v>0.47</v>
      </c>
      <c r="M467">
        <f>VLOOKUP(A467,[1]dataset_2!B:H,4,FALSE)</f>
        <v>0.4627</v>
      </c>
      <c r="N467">
        <f>VLOOKUP(A467,[1]dataset_2!B:H,5,FALSE)</f>
        <v>6</v>
      </c>
      <c r="O467">
        <f>VLOOKUP(A467,[1]dataset_2!B:H,6,FALSE)</f>
        <v>57</v>
      </c>
      <c r="P467">
        <f>VLOOKUP(A467,[1]dataset_2!B:H,7,FALSE)</f>
        <v>63</v>
      </c>
      <c r="Q467" t="str">
        <f t="shared" si="21"/>
        <v>Weekday</v>
      </c>
      <c r="R467" t="str">
        <f t="shared" si="22"/>
        <v>Morning</v>
      </c>
      <c r="S467" t="str">
        <f t="shared" si="23"/>
        <v>Low</v>
      </c>
    </row>
    <row r="468" spans="1:19">
      <c r="A468" s="14">
        <v>467</v>
      </c>
      <c r="B468" s="15">
        <v>40564</v>
      </c>
      <c r="C468" s="14">
        <v>1</v>
      </c>
      <c r="D468" s="14">
        <v>0</v>
      </c>
      <c r="E468" s="14">
        <v>1</v>
      </c>
      <c r="F468" s="14">
        <v>11</v>
      </c>
      <c r="G468" s="14" t="b">
        <v>0</v>
      </c>
      <c r="H468" s="14">
        <v>5</v>
      </c>
      <c r="I468" s="14">
        <v>1</v>
      </c>
      <c r="J468" s="14">
        <v>0.22</v>
      </c>
      <c r="K468">
        <f>VLOOKUP(A468,[1]dataset_2!B:H,2,FALSE)</f>
        <v>0.18179999999999999</v>
      </c>
      <c r="L468">
        <f>VLOOKUP(A468,[1]dataset_2!B:H,3,FALSE)</f>
        <v>0.41</v>
      </c>
      <c r="M468">
        <f>VLOOKUP(A468,[1]dataset_2!B:H,4,FALSE)</f>
        <v>0.4627</v>
      </c>
      <c r="N468">
        <f>VLOOKUP(A468,[1]dataset_2!B:H,5,FALSE)</f>
        <v>6</v>
      </c>
      <c r="O468">
        <f>VLOOKUP(A468,[1]dataset_2!B:H,6,FALSE)</f>
        <v>53</v>
      </c>
      <c r="P468">
        <f>VLOOKUP(A468,[1]dataset_2!B:H,7,FALSE)</f>
        <v>59</v>
      </c>
      <c r="Q468" t="str">
        <f t="shared" si="21"/>
        <v>Weekday</v>
      </c>
      <c r="R468" t="str">
        <f t="shared" si="22"/>
        <v>Morning</v>
      </c>
      <c r="S468" t="str">
        <f t="shared" si="23"/>
        <v>Low</v>
      </c>
    </row>
    <row r="469" spans="1:19">
      <c r="A469" s="14">
        <v>468</v>
      </c>
      <c r="B469" s="15">
        <v>40564</v>
      </c>
      <c r="C469" s="14">
        <v>1</v>
      </c>
      <c r="D469" s="14">
        <v>0</v>
      </c>
      <c r="E469" s="14">
        <v>1</v>
      </c>
      <c r="F469" s="14">
        <v>12</v>
      </c>
      <c r="G469" s="14" t="b">
        <v>0</v>
      </c>
      <c r="H469" s="14">
        <v>5</v>
      </c>
      <c r="I469" s="14">
        <v>1</v>
      </c>
      <c r="J469" s="14">
        <v>0.22</v>
      </c>
      <c r="K469">
        <f>VLOOKUP(A469,[1]dataset_2!B:H,2,FALSE)</f>
        <v>0.18179999999999999</v>
      </c>
      <c r="L469">
        <f>VLOOKUP(A469,[1]dataset_2!B:H,3,FALSE)</f>
        <v>0.27</v>
      </c>
      <c r="M469">
        <f>VLOOKUP(A469,[1]dataset_2!B:H,4,FALSE)</f>
        <v>0.58209999999999995</v>
      </c>
      <c r="N469">
        <f>VLOOKUP(A469,[1]dataset_2!B:H,5,FALSE)</f>
        <v>11</v>
      </c>
      <c r="O469">
        <f>VLOOKUP(A469,[1]dataset_2!B:H,6,FALSE)</f>
        <v>67</v>
      </c>
      <c r="P469">
        <f>VLOOKUP(A469,[1]dataset_2!B:H,7,FALSE)</f>
        <v>78</v>
      </c>
      <c r="Q469" t="str">
        <f t="shared" si="21"/>
        <v>Weekday</v>
      </c>
      <c r="R469" t="str">
        <f t="shared" si="22"/>
        <v>Afternoon</v>
      </c>
      <c r="S469" t="str">
        <f t="shared" si="23"/>
        <v>Low</v>
      </c>
    </row>
    <row r="470" spans="1:19">
      <c r="A470" s="14">
        <v>469</v>
      </c>
      <c r="B470" s="15">
        <v>40564</v>
      </c>
      <c r="C470" s="14">
        <v>1</v>
      </c>
      <c r="D470" s="14">
        <v>0</v>
      </c>
      <c r="E470" s="14">
        <v>1</v>
      </c>
      <c r="F470" s="14">
        <v>13</v>
      </c>
      <c r="G470" s="14" t="b">
        <v>0</v>
      </c>
      <c r="H470" s="14">
        <v>5</v>
      </c>
      <c r="I470" s="14">
        <v>1</v>
      </c>
      <c r="J470" s="14">
        <v>0.2</v>
      </c>
      <c r="K470">
        <f>VLOOKUP(A470,[1]dataset_2!B:H,2,FALSE)</f>
        <v>0.1515</v>
      </c>
      <c r="L470">
        <f>VLOOKUP(A470,[1]dataset_2!B:H,3,FALSE)</f>
        <v>0.21</v>
      </c>
      <c r="M470">
        <f>VLOOKUP(A470,[1]dataset_2!B:H,4,FALSE)</f>
        <v>0.58209999999999995</v>
      </c>
      <c r="N470">
        <f>VLOOKUP(A470,[1]dataset_2!B:H,5,FALSE)</f>
        <v>8</v>
      </c>
      <c r="O470">
        <f>VLOOKUP(A470,[1]dataset_2!B:H,6,FALSE)</f>
        <v>65</v>
      </c>
      <c r="P470">
        <f>VLOOKUP(A470,[1]dataset_2!B:H,7,FALSE)</f>
        <v>73</v>
      </c>
      <c r="Q470" t="str">
        <f t="shared" si="21"/>
        <v>Weekday</v>
      </c>
      <c r="R470" t="str">
        <f t="shared" si="22"/>
        <v>Afternoon</v>
      </c>
      <c r="S470" t="str">
        <f t="shared" si="23"/>
        <v>Low</v>
      </c>
    </row>
    <row r="471" spans="1:19">
      <c r="A471" s="14">
        <v>470</v>
      </c>
      <c r="B471" s="15">
        <v>40564</v>
      </c>
      <c r="C471" s="14">
        <v>1</v>
      </c>
      <c r="D471" s="14">
        <v>0</v>
      </c>
      <c r="E471" s="14">
        <v>1</v>
      </c>
      <c r="F471" s="14">
        <v>14</v>
      </c>
      <c r="G471" s="14" t="b">
        <v>0</v>
      </c>
      <c r="H471" s="14">
        <v>5</v>
      </c>
      <c r="I471" s="14">
        <v>1</v>
      </c>
      <c r="J471" s="14">
        <v>0.2</v>
      </c>
      <c r="K471">
        <f>VLOOKUP(A471,[1]dataset_2!B:H,2,FALSE)</f>
        <v>0.1515</v>
      </c>
      <c r="L471">
        <f>VLOOKUP(A471,[1]dataset_2!B:H,3,FALSE)</f>
        <v>0.25</v>
      </c>
      <c r="M471">
        <f>VLOOKUP(A471,[1]dataset_2!B:H,4,FALSE)</f>
        <v>0.52239999999999998</v>
      </c>
      <c r="N471">
        <f>VLOOKUP(A471,[1]dataset_2!B:H,5,FALSE)</f>
        <v>6</v>
      </c>
      <c r="O471">
        <f>VLOOKUP(A471,[1]dataset_2!B:H,6,FALSE)</f>
        <v>56</v>
      </c>
      <c r="P471">
        <f>VLOOKUP(A471,[1]dataset_2!B:H,7,FALSE)</f>
        <v>62</v>
      </c>
      <c r="Q471" t="str">
        <f t="shared" si="21"/>
        <v>Weekday</v>
      </c>
      <c r="R471" t="str">
        <f t="shared" si="22"/>
        <v>Afternoon</v>
      </c>
      <c r="S471" t="str">
        <f t="shared" si="23"/>
        <v>Low</v>
      </c>
    </row>
    <row r="472" spans="1:19">
      <c r="A472" s="14">
        <v>471</v>
      </c>
      <c r="B472" s="15">
        <v>40564</v>
      </c>
      <c r="C472" s="14">
        <v>1</v>
      </c>
      <c r="D472" s="14">
        <v>0</v>
      </c>
      <c r="E472" s="14">
        <v>1</v>
      </c>
      <c r="F472" s="14">
        <v>15</v>
      </c>
      <c r="G472" s="14" t="b">
        <v>0</v>
      </c>
      <c r="H472" s="14">
        <v>5</v>
      </c>
      <c r="I472" s="14">
        <v>1</v>
      </c>
      <c r="J472" s="14">
        <v>0.16</v>
      </c>
      <c r="K472">
        <f>VLOOKUP(A472,[1]dataset_2!B:H,2,FALSE)</f>
        <v>0.1212</v>
      </c>
      <c r="L472">
        <f>VLOOKUP(A472,[1]dataset_2!B:H,3,FALSE)</f>
        <v>0.26</v>
      </c>
      <c r="M472">
        <f>VLOOKUP(A472,[1]dataset_2!B:H,4,FALSE)</f>
        <v>0.44779999999999998</v>
      </c>
      <c r="N472">
        <f>VLOOKUP(A472,[1]dataset_2!B:H,5,FALSE)</f>
        <v>4</v>
      </c>
      <c r="O472">
        <f>VLOOKUP(A472,[1]dataset_2!B:H,6,FALSE)</f>
        <v>61</v>
      </c>
      <c r="P472">
        <f>VLOOKUP(A472,[1]dataset_2!B:H,7,FALSE)</f>
        <v>65</v>
      </c>
      <c r="Q472" t="str">
        <f t="shared" si="21"/>
        <v>Weekday</v>
      </c>
      <c r="R472" t="str">
        <f t="shared" si="22"/>
        <v>Afternoon</v>
      </c>
      <c r="S472" t="str">
        <f t="shared" si="23"/>
        <v>Low</v>
      </c>
    </row>
    <row r="473" spans="1:19">
      <c r="A473" s="14">
        <v>472</v>
      </c>
      <c r="B473" s="15">
        <v>40564</v>
      </c>
      <c r="C473" s="14">
        <v>1</v>
      </c>
      <c r="D473" s="14">
        <v>0</v>
      </c>
      <c r="E473" s="14">
        <v>1</v>
      </c>
      <c r="F473" s="14">
        <v>16</v>
      </c>
      <c r="G473" s="14" t="b">
        <v>0</v>
      </c>
      <c r="H473" s="14">
        <v>5</v>
      </c>
      <c r="I473" s="14">
        <v>1</v>
      </c>
      <c r="J473" s="14">
        <v>0.16</v>
      </c>
      <c r="K473">
        <f>VLOOKUP(A473,[1]dataset_2!B:H,2,FALSE)</f>
        <v>0.13639999999999999</v>
      </c>
      <c r="L473">
        <f>VLOOKUP(A473,[1]dataset_2!B:H,3,FALSE)</f>
        <v>0.26</v>
      </c>
      <c r="M473">
        <f>VLOOKUP(A473,[1]dataset_2!B:H,4,FALSE)</f>
        <v>0.35820000000000002</v>
      </c>
      <c r="N473">
        <f>VLOOKUP(A473,[1]dataset_2!B:H,5,FALSE)</f>
        <v>0</v>
      </c>
      <c r="O473">
        <f>VLOOKUP(A473,[1]dataset_2!B:H,6,FALSE)</f>
        <v>97</v>
      </c>
      <c r="P473">
        <f>VLOOKUP(A473,[1]dataset_2!B:H,7,FALSE)</f>
        <v>97</v>
      </c>
      <c r="Q473" t="str">
        <f t="shared" si="21"/>
        <v>Weekday</v>
      </c>
      <c r="R473" t="str">
        <f t="shared" si="22"/>
        <v>Afternoon</v>
      </c>
      <c r="S473" t="str">
        <f t="shared" si="23"/>
        <v>Low</v>
      </c>
    </row>
    <row r="474" spans="1:19">
      <c r="A474" s="14">
        <v>473</v>
      </c>
      <c r="B474" s="15">
        <v>40564</v>
      </c>
      <c r="C474" s="14">
        <v>1</v>
      </c>
      <c r="D474" s="14">
        <v>0</v>
      </c>
      <c r="E474" s="14">
        <v>1</v>
      </c>
      <c r="F474" s="14">
        <v>17</v>
      </c>
      <c r="G474" s="14" t="b">
        <v>0</v>
      </c>
      <c r="H474" s="14">
        <v>5</v>
      </c>
      <c r="I474" s="14">
        <v>1</v>
      </c>
      <c r="J474" s="14">
        <v>0.14000000000000001</v>
      </c>
      <c r="K474">
        <f>VLOOKUP(A474,[1]dataset_2!B:H,2,FALSE)</f>
        <v>0.1212</v>
      </c>
      <c r="L474">
        <f>VLOOKUP(A474,[1]dataset_2!B:H,3,FALSE)</f>
        <v>0.28000000000000003</v>
      </c>
      <c r="M474">
        <f>VLOOKUP(A474,[1]dataset_2!B:H,4,FALSE)</f>
        <v>0.35820000000000002</v>
      </c>
      <c r="N474">
        <f>VLOOKUP(A474,[1]dataset_2!B:H,5,FALSE)</f>
        <v>10</v>
      </c>
      <c r="O474">
        <f>VLOOKUP(A474,[1]dataset_2!B:H,6,FALSE)</f>
        <v>151</v>
      </c>
      <c r="P474">
        <f>VLOOKUP(A474,[1]dataset_2!B:H,7,FALSE)</f>
        <v>161</v>
      </c>
      <c r="Q474" t="str">
        <f t="shared" si="21"/>
        <v>Weekday</v>
      </c>
      <c r="R474" t="str">
        <f t="shared" si="22"/>
        <v>Afternoon</v>
      </c>
      <c r="S474" t="str">
        <f t="shared" si="23"/>
        <v>High</v>
      </c>
    </row>
    <row r="475" spans="1:19">
      <c r="A475" s="14">
        <v>474</v>
      </c>
      <c r="B475" s="15">
        <v>40564</v>
      </c>
      <c r="C475" s="14">
        <v>1</v>
      </c>
      <c r="D475" s="14">
        <v>0</v>
      </c>
      <c r="E475" s="14">
        <v>1</v>
      </c>
      <c r="F475" s="14">
        <v>18</v>
      </c>
      <c r="G475" s="14" t="b">
        <v>0</v>
      </c>
      <c r="H475" s="14">
        <v>5</v>
      </c>
      <c r="I475" s="14">
        <v>1</v>
      </c>
      <c r="J475" s="14">
        <v>0.12</v>
      </c>
      <c r="K475">
        <f>VLOOKUP(A475,[1]dataset_2!B:H,2,FALSE)</f>
        <v>0.1212</v>
      </c>
      <c r="L475">
        <f>VLOOKUP(A475,[1]dataset_2!B:H,3,FALSE)</f>
        <v>0.3</v>
      </c>
      <c r="M475">
        <f>VLOOKUP(A475,[1]dataset_2!B:H,4,FALSE)</f>
        <v>0.25369999999999998</v>
      </c>
      <c r="N475">
        <f>VLOOKUP(A475,[1]dataset_2!B:H,5,FALSE)</f>
        <v>1</v>
      </c>
      <c r="O475">
        <f>VLOOKUP(A475,[1]dataset_2!B:H,6,FALSE)</f>
        <v>119</v>
      </c>
      <c r="P475">
        <f>VLOOKUP(A475,[1]dataset_2!B:H,7,FALSE)</f>
        <v>120</v>
      </c>
      <c r="Q475" t="str">
        <f t="shared" si="21"/>
        <v>Weekday</v>
      </c>
      <c r="R475" t="str">
        <f t="shared" si="22"/>
        <v>Evening</v>
      </c>
      <c r="S475" t="str">
        <f t="shared" si="23"/>
        <v>High</v>
      </c>
    </row>
    <row r="476" spans="1:19">
      <c r="A476" s="14">
        <v>475</v>
      </c>
      <c r="B476" s="15">
        <v>40564</v>
      </c>
      <c r="C476" s="14">
        <v>1</v>
      </c>
      <c r="D476" s="14">
        <v>0</v>
      </c>
      <c r="E476" s="14">
        <v>1</v>
      </c>
      <c r="F476" s="14">
        <v>19</v>
      </c>
      <c r="G476" s="14" t="b">
        <v>0</v>
      </c>
      <c r="H476" s="14">
        <v>5</v>
      </c>
      <c r="I476" s="14">
        <v>1</v>
      </c>
      <c r="J476" s="14">
        <v>0.12</v>
      </c>
      <c r="K476">
        <f>VLOOKUP(A476,[1]dataset_2!B:H,2,FALSE)</f>
        <v>0.1061</v>
      </c>
      <c r="L476">
        <f>VLOOKUP(A476,[1]dataset_2!B:H,3,FALSE)</f>
        <v>0.3</v>
      </c>
      <c r="M476">
        <f>VLOOKUP(A476,[1]dataset_2!B:H,4,FALSE)</f>
        <v>0.32840000000000003</v>
      </c>
      <c r="N476">
        <f>VLOOKUP(A476,[1]dataset_2!B:H,5,FALSE)</f>
        <v>3</v>
      </c>
      <c r="O476">
        <f>VLOOKUP(A476,[1]dataset_2!B:H,6,FALSE)</f>
        <v>93</v>
      </c>
      <c r="P476">
        <f>VLOOKUP(A476,[1]dataset_2!B:H,7,FALSE)</f>
        <v>96</v>
      </c>
      <c r="Q476" t="str">
        <f t="shared" si="21"/>
        <v>Weekday</v>
      </c>
      <c r="R476" t="str">
        <f t="shared" si="22"/>
        <v>Evening</v>
      </c>
      <c r="S476" t="str">
        <f t="shared" si="23"/>
        <v>Low</v>
      </c>
    </row>
    <row r="477" spans="1:19">
      <c r="A477" s="14">
        <v>476</v>
      </c>
      <c r="B477" s="15">
        <v>40564</v>
      </c>
      <c r="C477" s="14">
        <v>1</v>
      </c>
      <c r="D477" s="14">
        <v>0</v>
      </c>
      <c r="E477" s="14">
        <v>1</v>
      </c>
      <c r="F477" s="14">
        <v>20</v>
      </c>
      <c r="G477" s="14" t="b">
        <v>0</v>
      </c>
      <c r="H477" s="14">
        <v>5</v>
      </c>
      <c r="I477" s="14">
        <v>1</v>
      </c>
      <c r="J477" s="14">
        <v>0.1</v>
      </c>
      <c r="K477">
        <f>VLOOKUP(A477,[1]dataset_2!B:H,2,FALSE)</f>
        <v>7.5800000000000006E-2</v>
      </c>
      <c r="L477">
        <f>VLOOKUP(A477,[1]dataset_2!B:H,3,FALSE)</f>
        <v>0.33</v>
      </c>
      <c r="M477">
        <f>VLOOKUP(A477,[1]dataset_2!B:H,4,FALSE)</f>
        <v>0.41789999999999999</v>
      </c>
      <c r="N477">
        <f>VLOOKUP(A477,[1]dataset_2!B:H,5,FALSE)</f>
        <v>1</v>
      </c>
      <c r="O477">
        <f>VLOOKUP(A477,[1]dataset_2!B:H,6,FALSE)</f>
        <v>52</v>
      </c>
      <c r="P477">
        <f>VLOOKUP(A477,[1]dataset_2!B:H,7,FALSE)</f>
        <v>53</v>
      </c>
      <c r="Q477" t="str">
        <f t="shared" si="21"/>
        <v>Weekday</v>
      </c>
      <c r="R477" t="str">
        <f t="shared" si="22"/>
        <v>Evening</v>
      </c>
      <c r="S477" t="str">
        <f t="shared" si="23"/>
        <v>Low</v>
      </c>
    </row>
    <row r="478" spans="1:19">
      <c r="A478" s="14">
        <v>477</v>
      </c>
      <c r="B478" s="15">
        <v>40564</v>
      </c>
      <c r="C478" s="14">
        <v>1</v>
      </c>
      <c r="D478" s="14">
        <v>0</v>
      </c>
      <c r="E478" s="14">
        <v>1</v>
      </c>
      <c r="F478" s="14">
        <v>21</v>
      </c>
      <c r="G478" s="14" t="b">
        <v>0</v>
      </c>
      <c r="H478" s="14">
        <v>5</v>
      </c>
      <c r="I478" s="14">
        <v>1</v>
      </c>
      <c r="J478" s="14">
        <v>0.08</v>
      </c>
      <c r="K478">
        <f>VLOOKUP(A478,[1]dataset_2!B:H,2,FALSE)</f>
        <v>7.5800000000000006E-2</v>
      </c>
      <c r="L478">
        <f>VLOOKUP(A478,[1]dataset_2!B:H,3,FALSE)</f>
        <v>0.38</v>
      </c>
      <c r="M478">
        <f>VLOOKUP(A478,[1]dataset_2!B:H,4,FALSE)</f>
        <v>0.28360000000000002</v>
      </c>
      <c r="N478">
        <f>VLOOKUP(A478,[1]dataset_2!B:H,5,FALSE)</f>
        <v>0</v>
      </c>
      <c r="O478">
        <f>VLOOKUP(A478,[1]dataset_2!B:H,6,FALSE)</f>
        <v>41</v>
      </c>
      <c r="P478">
        <f>VLOOKUP(A478,[1]dataset_2!B:H,7,FALSE)</f>
        <v>41</v>
      </c>
      <c r="Q478" t="str">
        <f t="shared" si="21"/>
        <v>Weekday</v>
      </c>
      <c r="R478" t="str">
        <f t="shared" si="22"/>
        <v>Evening</v>
      </c>
      <c r="S478" t="str">
        <f t="shared" si="23"/>
        <v>Low</v>
      </c>
    </row>
    <row r="479" spans="1:19">
      <c r="A479" s="14">
        <v>478</v>
      </c>
      <c r="B479" s="15">
        <v>40564</v>
      </c>
      <c r="C479" s="14">
        <v>1</v>
      </c>
      <c r="D479" s="14">
        <v>0</v>
      </c>
      <c r="E479" s="14">
        <v>1</v>
      </c>
      <c r="F479" s="14">
        <v>22</v>
      </c>
      <c r="G479" s="14" t="b">
        <v>0</v>
      </c>
      <c r="H479" s="14">
        <v>5</v>
      </c>
      <c r="I479" s="14">
        <v>1</v>
      </c>
      <c r="J479" s="14">
        <v>0.06</v>
      </c>
      <c r="K479">
        <f>VLOOKUP(A479,[1]dataset_2!B:H,2,FALSE)</f>
        <v>3.0300000000000001E-2</v>
      </c>
      <c r="L479">
        <f>VLOOKUP(A479,[1]dataset_2!B:H,3,FALSE)</f>
        <v>0.41</v>
      </c>
      <c r="M479">
        <f>VLOOKUP(A479,[1]dataset_2!B:H,4,FALSE)</f>
        <v>0.3881</v>
      </c>
      <c r="N479">
        <f>VLOOKUP(A479,[1]dataset_2!B:H,5,FALSE)</f>
        <v>1</v>
      </c>
      <c r="O479">
        <f>VLOOKUP(A479,[1]dataset_2!B:H,6,FALSE)</f>
        <v>33</v>
      </c>
      <c r="P479">
        <f>VLOOKUP(A479,[1]dataset_2!B:H,7,FALSE)</f>
        <v>34</v>
      </c>
      <c r="Q479" t="str">
        <f t="shared" si="21"/>
        <v>Weekday</v>
      </c>
      <c r="R479" t="str">
        <f t="shared" si="22"/>
        <v>Evening</v>
      </c>
      <c r="S479" t="str">
        <f t="shared" si="23"/>
        <v>Low</v>
      </c>
    </row>
    <row r="480" spans="1:19">
      <c r="A480" s="14">
        <v>479</v>
      </c>
      <c r="B480" s="15">
        <v>40564</v>
      </c>
      <c r="C480" s="14">
        <v>1</v>
      </c>
      <c r="D480" s="14">
        <v>0</v>
      </c>
      <c r="E480" s="14">
        <v>1</v>
      </c>
      <c r="F480" s="14">
        <v>23</v>
      </c>
      <c r="G480" s="14" t="b">
        <v>0</v>
      </c>
      <c r="H480" s="14">
        <v>5</v>
      </c>
      <c r="I480" s="14">
        <v>1</v>
      </c>
      <c r="J480" s="14">
        <v>0.06</v>
      </c>
      <c r="K480">
        <f>VLOOKUP(A480,[1]dataset_2!B:H,2,FALSE)</f>
        <v>4.5499999999999999E-2</v>
      </c>
      <c r="L480">
        <f>VLOOKUP(A480,[1]dataset_2!B:H,3,FALSE)</f>
        <v>0.38</v>
      </c>
      <c r="M480">
        <f>VLOOKUP(A480,[1]dataset_2!B:H,4,FALSE)</f>
        <v>0.32840000000000003</v>
      </c>
      <c r="N480">
        <f>VLOOKUP(A480,[1]dataset_2!B:H,5,FALSE)</f>
        <v>0</v>
      </c>
      <c r="O480">
        <f>VLOOKUP(A480,[1]dataset_2!B:H,6,FALSE)</f>
        <v>27</v>
      </c>
      <c r="P480">
        <f>VLOOKUP(A480,[1]dataset_2!B:H,7,FALSE)</f>
        <v>27</v>
      </c>
      <c r="Q480" t="str">
        <f t="shared" si="21"/>
        <v>Weekday</v>
      </c>
      <c r="R480" t="str">
        <f t="shared" si="22"/>
        <v>Evening</v>
      </c>
      <c r="S480" t="str">
        <f t="shared" si="23"/>
        <v>Low</v>
      </c>
    </row>
    <row r="481" spans="1:19">
      <c r="A481" s="14">
        <v>480</v>
      </c>
      <c r="B481" s="15">
        <v>40565</v>
      </c>
      <c r="C481" s="14">
        <v>1</v>
      </c>
      <c r="D481" s="14">
        <v>0</v>
      </c>
      <c r="E481" s="14">
        <v>1</v>
      </c>
      <c r="F481" s="14">
        <v>0</v>
      </c>
      <c r="G481" s="14" t="b">
        <v>0</v>
      </c>
      <c r="H481" s="14">
        <v>6</v>
      </c>
      <c r="I481" s="14">
        <v>1</v>
      </c>
      <c r="J481" s="14">
        <v>0.04</v>
      </c>
      <c r="K481">
        <f>VLOOKUP(A481,[1]dataset_2!B:H,2,FALSE)</f>
        <v>3.0300000000000001E-2</v>
      </c>
      <c r="L481">
        <f>VLOOKUP(A481,[1]dataset_2!B:H,3,FALSE)</f>
        <v>0.45</v>
      </c>
      <c r="M481">
        <f>VLOOKUP(A481,[1]dataset_2!B:H,4,FALSE)</f>
        <v>0.25369999999999998</v>
      </c>
      <c r="N481">
        <f>VLOOKUP(A481,[1]dataset_2!B:H,5,FALSE)</f>
        <v>0</v>
      </c>
      <c r="O481">
        <f>VLOOKUP(A481,[1]dataset_2!B:H,6,FALSE)</f>
        <v>13</v>
      </c>
      <c r="P481">
        <f>VLOOKUP(A481,[1]dataset_2!B:H,7,FALSE)</f>
        <v>13</v>
      </c>
      <c r="Q481" t="str">
        <f t="shared" si="21"/>
        <v>Weekend</v>
      </c>
      <c r="R481" t="str">
        <f t="shared" si="22"/>
        <v>Morning</v>
      </c>
      <c r="S481" t="str">
        <f t="shared" si="23"/>
        <v>Low</v>
      </c>
    </row>
    <row r="482" spans="1:19">
      <c r="A482" s="14">
        <v>481</v>
      </c>
      <c r="B482" s="15">
        <v>40565</v>
      </c>
      <c r="C482" s="14">
        <v>1</v>
      </c>
      <c r="D482" s="14">
        <v>0</v>
      </c>
      <c r="E482" s="14">
        <v>1</v>
      </c>
      <c r="F482" s="14">
        <v>1</v>
      </c>
      <c r="G482" s="14" t="b">
        <v>0</v>
      </c>
      <c r="H482" s="14">
        <v>6</v>
      </c>
      <c r="I482" s="14">
        <v>2</v>
      </c>
      <c r="J482" s="14">
        <v>0.04</v>
      </c>
      <c r="K482">
        <f>VLOOKUP(A482,[1]dataset_2!B:H,2,FALSE)</f>
        <v>0</v>
      </c>
      <c r="L482">
        <f>VLOOKUP(A482,[1]dataset_2!B:H,3,FALSE)</f>
        <v>0.41</v>
      </c>
      <c r="M482">
        <f>VLOOKUP(A482,[1]dataset_2!B:H,4,FALSE)</f>
        <v>0.3881</v>
      </c>
      <c r="N482">
        <f>VLOOKUP(A482,[1]dataset_2!B:H,5,FALSE)</f>
        <v>3</v>
      </c>
      <c r="O482">
        <f>VLOOKUP(A482,[1]dataset_2!B:H,6,FALSE)</f>
        <v>9</v>
      </c>
      <c r="P482">
        <f>VLOOKUP(A482,[1]dataset_2!B:H,7,FALSE)</f>
        <v>12</v>
      </c>
      <c r="Q482" t="str">
        <f t="shared" si="21"/>
        <v>Weekend</v>
      </c>
      <c r="R482" t="str">
        <f t="shared" si="22"/>
        <v>Morning</v>
      </c>
      <c r="S482" t="str">
        <f t="shared" si="23"/>
        <v>Low</v>
      </c>
    </row>
    <row r="483" spans="1:19">
      <c r="A483" s="14">
        <v>482</v>
      </c>
      <c r="B483" s="15">
        <v>40565</v>
      </c>
      <c r="C483" s="14">
        <v>1</v>
      </c>
      <c r="D483" s="14">
        <v>0</v>
      </c>
      <c r="E483" s="14">
        <v>1</v>
      </c>
      <c r="F483" s="14">
        <v>2</v>
      </c>
      <c r="G483" s="14" t="b">
        <v>0</v>
      </c>
      <c r="H483" s="14">
        <v>6</v>
      </c>
      <c r="I483" s="14">
        <v>2</v>
      </c>
      <c r="J483" s="14">
        <v>0.04</v>
      </c>
      <c r="K483">
        <f>VLOOKUP(A483,[1]dataset_2!B:H,2,FALSE)</f>
        <v>3.0300000000000001E-2</v>
      </c>
      <c r="L483">
        <f>VLOOKUP(A483,[1]dataset_2!B:H,3,FALSE)</f>
        <v>0.41</v>
      </c>
      <c r="M483">
        <f>VLOOKUP(A483,[1]dataset_2!B:H,4,FALSE)</f>
        <v>0.25369999999999998</v>
      </c>
      <c r="N483">
        <f>VLOOKUP(A483,[1]dataset_2!B:H,5,FALSE)</f>
        <v>0</v>
      </c>
      <c r="O483">
        <f>VLOOKUP(A483,[1]dataset_2!B:H,6,FALSE)</f>
        <v>11</v>
      </c>
      <c r="P483">
        <f>VLOOKUP(A483,[1]dataset_2!B:H,7,FALSE)</f>
        <v>11</v>
      </c>
      <c r="Q483" t="str">
        <f t="shared" si="21"/>
        <v>Weekend</v>
      </c>
      <c r="R483" t="str">
        <f t="shared" si="22"/>
        <v>Morning</v>
      </c>
      <c r="S483" t="str">
        <f t="shared" si="23"/>
        <v>Low</v>
      </c>
    </row>
    <row r="484" spans="1:19">
      <c r="A484" s="14">
        <v>483</v>
      </c>
      <c r="B484" s="15">
        <v>40565</v>
      </c>
      <c r="C484" s="14">
        <v>1</v>
      </c>
      <c r="D484" s="14">
        <v>0</v>
      </c>
      <c r="E484" s="14">
        <v>1</v>
      </c>
      <c r="F484" s="14">
        <v>3</v>
      </c>
      <c r="G484" s="14" t="b">
        <v>0</v>
      </c>
      <c r="H484" s="14">
        <v>6</v>
      </c>
      <c r="I484" s="14">
        <v>2</v>
      </c>
      <c r="J484" s="14">
        <v>0.04</v>
      </c>
      <c r="K484">
        <f>VLOOKUP(A484,[1]dataset_2!B:H,2,FALSE)</f>
        <v>3.0300000000000001E-2</v>
      </c>
      <c r="L484">
        <f>VLOOKUP(A484,[1]dataset_2!B:H,3,FALSE)</f>
        <v>0.41</v>
      </c>
      <c r="M484">
        <f>VLOOKUP(A484,[1]dataset_2!B:H,4,FALSE)</f>
        <v>0.28360000000000002</v>
      </c>
      <c r="N484">
        <f>VLOOKUP(A484,[1]dataset_2!B:H,5,FALSE)</f>
        <v>1</v>
      </c>
      <c r="O484">
        <f>VLOOKUP(A484,[1]dataset_2!B:H,6,FALSE)</f>
        <v>6</v>
      </c>
      <c r="P484">
        <f>VLOOKUP(A484,[1]dataset_2!B:H,7,FALSE)</f>
        <v>7</v>
      </c>
      <c r="Q484" t="str">
        <f t="shared" si="21"/>
        <v>Weekend</v>
      </c>
      <c r="R484" t="str">
        <f t="shared" si="22"/>
        <v>Morning</v>
      </c>
      <c r="S484" t="str">
        <f t="shared" si="23"/>
        <v>Low</v>
      </c>
    </row>
    <row r="485" spans="1:19">
      <c r="A485" s="14">
        <v>484</v>
      </c>
      <c r="B485" s="15">
        <v>40565</v>
      </c>
      <c r="C485" s="14">
        <v>1</v>
      </c>
      <c r="D485" s="14">
        <v>0</v>
      </c>
      <c r="E485" s="14">
        <v>1</v>
      </c>
      <c r="F485" s="14">
        <v>4</v>
      </c>
      <c r="G485" s="14" t="b">
        <v>0</v>
      </c>
      <c r="H485" s="14">
        <v>6</v>
      </c>
      <c r="I485" s="14">
        <v>2</v>
      </c>
      <c r="J485" s="14">
        <v>0.02</v>
      </c>
      <c r="K485">
        <f>VLOOKUP(A485,[1]dataset_2!B:H,2,FALSE)</f>
        <v>1.52E-2</v>
      </c>
      <c r="L485">
        <f>VLOOKUP(A485,[1]dataset_2!B:H,3,FALSE)</f>
        <v>0.48</v>
      </c>
      <c r="M485">
        <f>VLOOKUP(A485,[1]dataset_2!B:H,4,FALSE)</f>
        <v>0.29849999999999999</v>
      </c>
      <c r="N485">
        <f>VLOOKUP(A485,[1]dataset_2!B:H,5,FALSE)</f>
        <v>0</v>
      </c>
      <c r="O485">
        <f>VLOOKUP(A485,[1]dataset_2!B:H,6,FALSE)</f>
        <v>3</v>
      </c>
      <c r="P485">
        <f>VLOOKUP(A485,[1]dataset_2!B:H,7,FALSE)</f>
        <v>3</v>
      </c>
      <c r="Q485" t="str">
        <f t="shared" si="21"/>
        <v>Weekend</v>
      </c>
      <c r="R485" t="str">
        <f t="shared" si="22"/>
        <v>Morning</v>
      </c>
      <c r="S485" t="str">
        <f t="shared" si="23"/>
        <v>Low</v>
      </c>
    </row>
    <row r="486" spans="1:19">
      <c r="A486" s="14">
        <v>485</v>
      </c>
      <c r="B486" s="15">
        <v>40565</v>
      </c>
      <c r="C486" s="14">
        <v>1</v>
      </c>
      <c r="D486" s="14">
        <v>0</v>
      </c>
      <c r="E486" s="14">
        <v>1</v>
      </c>
      <c r="F486" s="14">
        <v>6</v>
      </c>
      <c r="G486" s="14" t="b">
        <v>0</v>
      </c>
      <c r="H486" s="14">
        <v>6</v>
      </c>
      <c r="I486" s="14">
        <v>2</v>
      </c>
      <c r="J486" s="14">
        <v>0.02</v>
      </c>
      <c r="K486">
        <f>VLOOKUP(A486,[1]dataset_2!B:H,2,FALSE)</f>
        <v>3.0300000000000001E-2</v>
      </c>
      <c r="L486">
        <f>VLOOKUP(A486,[1]dataset_2!B:H,3,FALSE)</f>
        <v>0.44</v>
      </c>
      <c r="M486">
        <f>VLOOKUP(A486,[1]dataset_2!B:H,4,FALSE)</f>
        <v>0.22389999999999999</v>
      </c>
      <c r="N486">
        <f>VLOOKUP(A486,[1]dataset_2!B:H,5,FALSE)</f>
        <v>0</v>
      </c>
      <c r="O486">
        <f>VLOOKUP(A486,[1]dataset_2!B:H,6,FALSE)</f>
        <v>2</v>
      </c>
      <c r="P486">
        <f>VLOOKUP(A486,[1]dataset_2!B:H,7,FALSE)</f>
        <v>2</v>
      </c>
      <c r="Q486" t="str">
        <f t="shared" si="21"/>
        <v>Weekend</v>
      </c>
      <c r="R486" t="str">
        <f t="shared" si="22"/>
        <v>Morning</v>
      </c>
      <c r="S486" t="str">
        <f t="shared" si="23"/>
        <v>Low</v>
      </c>
    </row>
    <row r="487" spans="1:19">
      <c r="A487" s="14">
        <v>486</v>
      </c>
      <c r="B487" s="15">
        <v>40565</v>
      </c>
      <c r="C487" s="14">
        <v>1</v>
      </c>
      <c r="D487" s="14">
        <v>0</v>
      </c>
      <c r="E487" s="14">
        <v>1</v>
      </c>
      <c r="F487" s="14">
        <v>7</v>
      </c>
      <c r="G487" s="14" t="b">
        <v>0</v>
      </c>
      <c r="H487" s="14">
        <v>6</v>
      </c>
      <c r="I487" s="14">
        <v>1</v>
      </c>
      <c r="J487" s="14">
        <v>0.02</v>
      </c>
      <c r="K487">
        <f>VLOOKUP(A487,[1]dataset_2!B:H,2,FALSE)</f>
        <v>1.52E-2</v>
      </c>
      <c r="L487">
        <f>VLOOKUP(A487,[1]dataset_2!B:H,3,FALSE)</f>
        <v>0.44</v>
      </c>
      <c r="M487">
        <f>VLOOKUP(A487,[1]dataset_2!B:H,4,FALSE)</f>
        <v>0.28360000000000002</v>
      </c>
      <c r="N487">
        <f>VLOOKUP(A487,[1]dataset_2!B:H,5,FALSE)</f>
        <v>0</v>
      </c>
      <c r="O487">
        <f>VLOOKUP(A487,[1]dataset_2!B:H,6,FALSE)</f>
        <v>8</v>
      </c>
      <c r="P487">
        <f>VLOOKUP(A487,[1]dataset_2!B:H,7,FALSE)</f>
        <v>8</v>
      </c>
      <c r="Q487" t="str">
        <f t="shared" si="21"/>
        <v>Weekend</v>
      </c>
      <c r="R487" t="str">
        <f t="shared" si="22"/>
        <v>Morning</v>
      </c>
      <c r="S487" t="str">
        <f t="shared" si="23"/>
        <v>Low</v>
      </c>
    </row>
    <row r="488" spans="1:19">
      <c r="A488" s="14">
        <v>487</v>
      </c>
      <c r="B488" s="15">
        <v>40565</v>
      </c>
      <c r="C488" s="14">
        <v>1</v>
      </c>
      <c r="D488" s="14">
        <v>0</v>
      </c>
      <c r="E488" s="14">
        <v>1</v>
      </c>
      <c r="F488" s="14">
        <v>8</v>
      </c>
      <c r="G488" s="14" t="b">
        <v>0</v>
      </c>
      <c r="H488" s="14">
        <v>6</v>
      </c>
      <c r="I488" s="14">
        <v>1</v>
      </c>
      <c r="J488" s="14">
        <v>0.02</v>
      </c>
      <c r="K488">
        <f>VLOOKUP(A488,[1]dataset_2!B:H,2,FALSE)</f>
        <v>0</v>
      </c>
      <c r="L488">
        <f>VLOOKUP(A488,[1]dataset_2!B:H,3,FALSE)</f>
        <v>0.44</v>
      </c>
      <c r="M488">
        <f>VLOOKUP(A488,[1]dataset_2!B:H,4,FALSE)</f>
        <v>0.32840000000000003</v>
      </c>
      <c r="N488">
        <f>VLOOKUP(A488,[1]dataset_2!B:H,5,FALSE)</f>
        <v>1</v>
      </c>
      <c r="O488">
        <f>VLOOKUP(A488,[1]dataset_2!B:H,6,FALSE)</f>
        <v>26</v>
      </c>
      <c r="P488">
        <f>VLOOKUP(A488,[1]dataset_2!B:H,7,FALSE)</f>
        <v>27</v>
      </c>
      <c r="Q488" t="str">
        <f t="shared" si="21"/>
        <v>Weekend</v>
      </c>
      <c r="R488" t="str">
        <f t="shared" si="22"/>
        <v>Morning</v>
      </c>
      <c r="S488" t="str">
        <f t="shared" si="23"/>
        <v>Low</v>
      </c>
    </row>
    <row r="489" spans="1:19">
      <c r="A489" s="14">
        <v>488</v>
      </c>
      <c r="B489" s="15">
        <v>40565</v>
      </c>
      <c r="C489" s="14">
        <v>1</v>
      </c>
      <c r="D489" s="14">
        <v>0</v>
      </c>
      <c r="E489" s="14">
        <v>1</v>
      </c>
      <c r="F489" s="14">
        <v>9</v>
      </c>
      <c r="G489" s="14" t="b">
        <v>0</v>
      </c>
      <c r="H489" s="14">
        <v>6</v>
      </c>
      <c r="I489" s="14">
        <v>1</v>
      </c>
      <c r="J489" s="14">
        <v>0.04</v>
      </c>
      <c r="K489">
        <f>VLOOKUP(A489,[1]dataset_2!B:H,2,FALSE)</f>
        <v>3.0300000000000001E-2</v>
      </c>
      <c r="L489">
        <f>VLOOKUP(A489,[1]dataset_2!B:H,3,FALSE)</f>
        <v>0.41</v>
      </c>
      <c r="M489">
        <f>VLOOKUP(A489,[1]dataset_2!B:H,4,FALSE)</f>
        <v>0.25369999999999998</v>
      </c>
      <c r="N489">
        <f>VLOOKUP(A489,[1]dataset_2!B:H,5,FALSE)</f>
        <v>3</v>
      </c>
      <c r="O489">
        <f>VLOOKUP(A489,[1]dataset_2!B:H,6,FALSE)</f>
        <v>37</v>
      </c>
      <c r="P489">
        <f>VLOOKUP(A489,[1]dataset_2!B:H,7,FALSE)</f>
        <v>40</v>
      </c>
      <c r="Q489" t="str">
        <f t="shared" si="21"/>
        <v>Weekend</v>
      </c>
      <c r="R489" t="str">
        <f t="shared" si="22"/>
        <v>Morning</v>
      </c>
      <c r="S489" t="str">
        <f t="shared" si="23"/>
        <v>Low</v>
      </c>
    </row>
    <row r="490" spans="1:19">
      <c r="A490" s="14">
        <v>489</v>
      </c>
      <c r="B490" s="15">
        <v>40565</v>
      </c>
      <c r="C490" s="14">
        <v>1</v>
      </c>
      <c r="D490" s="14">
        <v>0</v>
      </c>
      <c r="E490" s="14">
        <v>1</v>
      </c>
      <c r="F490" s="14">
        <v>10</v>
      </c>
      <c r="G490" s="14" t="b">
        <v>0</v>
      </c>
      <c r="H490" s="14">
        <v>6</v>
      </c>
      <c r="I490" s="14">
        <v>2</v>
      </c>
      <c r="J490" s="14">
        <v>0.04</v>
      </c>
      <c r="K490">
        <f>VLOOKUP(A490,[1]dataset_2!B:H,2,FALSE)</f>
        <v>6.0600000000000001E-2</v>
      </c>
      <c r="L490">
        <f>VLOOKUP(A490,[1]dataset_2!B:H,3,FALSE)</f>
        <v>0.41</v>
      </c>
      <c r="M490">
        <f>VLOOKUP(A490,[1]dataset_2!B:H,4,FALSE)</f>
        <v>0.16420000000000001</v>
      </c>
      <c r="N490">
        <f>VLOOKUP(A490,[1]dataset_2!B:H,5,FALSE)</f>
        <v>3</v>
      </c>
      <c r="O490">
        <f>VLOOKUP(A490,[1]dataset_2!B:H,6,FALSE)</f>
        <v>50</v>
      </c>
      <c r="P490">
        <f>VLOOKUP(A490,[1]dataset_2!B:H,7,FALSE)</f>
        <v>53</v>
      </c>
      <c r="Q490" t="str">
        <f t="shared" si="21"/>
        <v>Weekend</v>
      </c>
      <c r="R490" t="str">
        <f t="shared" si="22"/>
        <v>Morning</v>
      </c>
      <c r="S490" t="str">
        <f t="shared" si="23"/>
        <v>Low</v>
      </c>
    </row>
    <row r="491" spans="1:19">
      <c r="A491" s="14">
        <v>490</v>
      </c>
      <c r="B491" s="15">
        <v>40565</v>
      </c>
      <c r="C491" s="14">
        <v>1</v>
      </c>
      <c r="D491" s="14">
        <v>0</v>
      </c>
      <c r="E491" s="14">
        <v>1</v>
      </c>
      <c r="F491" s="14">
        <v>11</v>
      </c>
      <c r="G491" s="14" t="b">
        <v>0</v>
      </c>
      <c r="H491" s="14">
        <v>6</v>
      </c>
      <c r="I491" s="14">
        <v>2</v>
      </c>
      <c r="J491" s="14">
        <v>0.06</v>
      </c>
      <c r="K491">
        <f>VLOOKUP(A491,[1]dataset_2!B:H,2,FALSE)</f>
        <v>7.5800000000000006E-2</v>
      </c>
      <c r="L491">
        <f>VLOOKUP(A491,[1]dataset_2!B:H,3,FALSE)</f>
        <v>0.38</v>
      </c>
      <c r="M491">
        <f>VLOOKUP(A491,[1]dataset_2!B:H,4,FALSE)</f>
        <v>0.1343</v>
      </c>
      <c r="N491">
        <f>VLOOKUP(A491,[1]dataset_2!B:H,5,FALSE)</f>
        <v>4</v>
      </c>
      <c r="O491">
        <f>VLOOKUP(A491,[1]dataset_2!B:H,6,FALSE)</f>
        <v>59</v>
      </c>
      <c r="P491">
        <f>VLOOKUP(A491,[1]dataset_2!B:H,7,FALSE)</f>
        <v>63</v>
      </c>
      <c r="Q491" t="str">
        <f t="shared" si="21"/>
        <v>Weekend</v>
      </c>
      <c r="R491" t="str">
        <f t="shared" si="22"/>
        <v>Morning</v>
      </c>
      <c r="S491" t="str">
        <f t="shared" si="23"/>
        <v>Low</v>
      </c>
    </row>
    <row r="492" spans="1:19">
      <c r="A492" s="14">
        <v>491</v>
      </c>
      <c r="B492" s="15">
        <v>40565</v>
      </c>
      <c r="C492" s="14">
        <v>1</v>
      </c>
      <c r="D492" s="14">
        <v>0</v>
      </c>
      <c r="E492" s="14">
        <v>1</v>
      </c>
      <c r="F492" s="14">
        <v>12</v>
      </c>
      <c r="G492" s="14" t="b">
        <v>0</v>
      </c>
      <c r="H492" s="14">
        <v>6</v>
      </c>
      <c r="I492" s="14">
        <v>2</v>
      </c>
      <c r="J492" s="14">
        <v>0.06</v>
      </c>
      <c r="K492">
        <f>VLOOKUP(A492,[1]dataset_2!B:H,2,FALSE)</f>
        <v>0.1061</v>
      </c>
      <c r="L492">
        <f>VLOOKUP(A492,[1]dataset_2!B:H,3,FALSE)</f>
        <v>0.38</v>
      </c>
      <c r="M492">
        <f>VLOOKUP(A492,[1]dataset_2!B:H,4,FALSE)</f>
        <v>0.1045</v>
      </c>
      <c r="N492">
        <f>VLOOKUP(A492,[1]dataset_2!B:H,5,FALSE)</f>
        <v>10</v>
      </c>
      <c r="O492">
        <f>VLOOKUP(A492,[1]dataset_2!B:H,6,FALSE)</f>
        <v>60</v>
      </c>
      <c r="P492">
        <f>VLOOKUP(A492,[1]dataset_2!B:H,7,FALSE)</f>
        <v>70</v>
      </c>
      <c r="Q492" t="str">
        <f t="shared" si="21"/>
        <v>Weekend</v>
      </c>
      <c r="R492" t="str">
        <f t="shared" si="22"/>
        <v>Afternoon</v>
      </c>
      <c r="S492" t="str">
        <f t="shared" si="23"/>
        <v>Low</v>
      </c>
    </row>
    <row r="493" spans="1:19">
      <c r="A493" s="14">
        <v>492</v>
      </c>
      <c r="B493" s="15">
        <v>40565</v>
      </c>
      <c r="C493" s="14">
        <v>1</v>
      </c>
      <c r="D493" s="14">
        <v>0</v>
      </c>
      <c r="E493" s="14">
        <v>1</v>
      </c>
      <c r="F493" s="14">
        <v>13</v>
      </c>
      <c r="G493" s="14" t="b">
        <v>0</v>
      </c>
      <c r="H493" s="14">
        <v>6</v>
      </c>
      <c r="I493" s="14">
        <v>1</v>
      </c>
      <c r="J493" s="14">
        <v>0.08</v>
      </c>
      <c r="K493">
        <f>VLOOKUP(A493,[1]dataset_2!B:H,2,FALSE)</f>
        <v>0.16669999999999999</v>
      </c>
      <c r="L493">
        <f>VLOOKUP(A493,[1]dataset_2!B:H,3,FALSE)</f>
        <v>0.35</v>
      </c>
      <c r="M493">
        <f>VLOOKUP(A493,[1]dataset_2!B:H,4,FALSE)</f>
        <v>0</v>
      </c>
      <c r="N493">
        <f>VLOOKUP(A493,[1]dataset_2!B:H,5,FALSE)</f>
        <v>12</v>
      </c>
      <c r="O493">
        <f>VLOOKUP(A493,[1]dataset_2!B:H,6,FALSE)</f>
        <v>72</v>
      </c>
      <c r="P493">
        <f>VLOOKUP(A493,[1]dataset_2!B:H,7,FALSE)</f>
        <v>84</v>
      </c>
      <c r="Q493" t="str">
        <f t="shared" si="21"/>
        <v>Weekend</v>
      </c>
      <c r="R493" t="str">
        <f t="shared" si="22"/>
        <v>Afternoon</v>
      </c>
      <c r="S493" t="str">
        <f t="shared" si="23"/>
        <v>Low</v>
      </c>
    </row>
    <row r="494" spans="1:19">
      <c r="A494" s="14">
        <v>493</v>
      </c>
      <c r="B494" s="15">
        <v>40565</v>
      </c>
      <c r="C494" s="14">
        <v>1</v>
      </c>
      <c r="D494" s="14">
        <v>0</v>
      </c>
      <c r="E494" s="14">
        <v>1</v>
      </c>
      <c r="F494" s="14">
        <v>14</v>
      </c>
      <c r="G494" s="14" t="b">
        <v>0</v>
      </c>
      <c r="H494" s="14">
        <v>6</v>
      </c>
      <c r="I494" s="14">
        <v>1</v>
      </c>
      <c r="J494" s="14">
        <v>0.1</v>
      </c>
      <c r="K494">
        <f>VLOOKUP(A494,[1]dataset_2!B:H,2,FALSE)</f>
        <v>0.13639999999999999</v>
      </c>
      <c r="L494">
        <f>VLOOKUP(A494,[1]dataset_2!B:H,3,FALSE)</f>
        <v>0.33</v>
      </c>
      <c r="M494">
        <f>VLOOKUP(A494,[1]dataset_2!B:H,4,FALSE)</f>
        <v>0.1045</v>
      </c>
      <c r="N494">
        <f>VLOOKUP(A494,[1]dataset_2!B:H,5,FALSE)</f>
        <v>11</v>
      </c>
      <c r="O494">
        <f>VLOOKUP(A494,[1]dataset_2!B:H,6,FALSE)</f>
        <v>64</v>
      </c>
      <c r="P494">
        <f>VLOOKUP(A494,[1]dataset_2!B:H,7,FALSE)</f>
        <v>75</v>
      </c>
      <c r="Q494" t="str">
        <f t="shared" si="21"/>
        <v>Weekend</v>
      </c>
      <c r="R494" t="str">
        <f t="shared" si="22"/>
        <v>Afternoon</v>
      </c>
      <c r="S494" t="str">
        <f t="shared" si="23"/>
        <v>Low</v>
      </c>
    </row>
    <row r="495" spans="1:19">
      <c r="A495" s="14">
        <v>494</v>
      </c>
      <c r="B495" s="15">
        <v>40565</v>
      </c>
      <c r="C495" s="14">
        <v>1</v>
      </c>
      <c r="D495" s="14">
        <v>0</v>
      </c>
      <c r="E495" s="14">
        <v>1</v>
      </c>
      <c r="F495" s="14">
        <v>15</v>
      </c>
      <c r="G495" s="14" t="b">
        <v>0</v>
      </c>
      <c r="H495" s="14">
        <v>6</v>
      </c>
      <c r="I495" s="14">
        <v>1</v>
      </c>
      <c r="J495" s="14">
        <v>0.12</v>
      </c>
      <c r="K495">
        <f>VLOOKUP(A495,[1]dataset_2!B:H,2,FALSE)</f>
        <v>0.1515</v>
      </c>
      <c r="L495">
        <f>VLOOKUP(A495,[1]dataset_2!B:H,3,FALSE)</f>
        <v>0.28000000000000003</v>
      </c>
      <c r="M495">
        <f>VLOOKUP(A495,[1]dataset_2!B:H,4,FALSE)</f>
        <v>0</v>
      </c>
      <c r="N495">
        <f>VLOOKUP(A495,[1]dataset_2!B:H,5,FALSE)</f>
        <v>10</v>
      </c>
      <c r="O495">
        <f>VLOOKUP(A495,[1]dataset_2!B:H,6,FALSE)</f>
        <v>93</v>
      </c>
      <c r="P495">
        <f>VLOOKUP(A495,[1]dataset_2!B:H,7,FALSE)</f>
        <v>103</v>
      </c>
      <c r="Q495" t="str">
        <f t="shared" si="21"/>
        <v>Weekend</v>
      </c>
      <c r="R495" t="str">
        <f t="shared" si="22"/>
        <v>Afternoon</v>
      </c>
      <c r="S495" t="str">
        <f t="shared" si="23"/>
        <v>High</v>
      </c>
    </row>
    <row r="496" spans="1:19">
      <c r="A496" s="14">
        <v>495</v>
      </c>
      <c r="B496" s="15">
        <v>40565</v>
      </c>
      <c r="C496" s="14">
        <v>1</v>
      </c>
      <c r="D496" s="14">
        <v>0</v>
      </c>
      <c r="E496" s="14">
        <v>1</v>
      </c>
      <c r="F496" s="14">
        <v>16</v>
      </c>
      <c r="G496" s="14" t="b">
        <v>0</v>
      </c>
      <c r="H496" s="14">
        <v>6</v>
      </c>
      <c r="I496" s="14">
        <v>1</v>
      </c>
      <c r="J496" s="14">
        <v>0.12</v>
      </c>
      <c r="K496">
        <f>VLOOKUP(A496,[1]dataset_2!B:H,2,FALSE)</f>
        <v>0.13639999999999999</v>
      </c>
      <c r="L496">
        <f>VLOOKUP(A496,[1]dataset_2!B:H,3,FALSE)</f>
        <v>0.28000000000000003</v>
      </c>
      <c r="M496">
        <f>VLOOKUP(A496,[1]dataset_2!B:H,4,FALSE)</f>
        <v>0.19400000000000001</v>
      </c>
      <c r="N496">
        <f>VLOOKUP(A496,[1]dataset_2!B:H,5,FALSE)</f>
        <v>11</v>
      </c>
      <c r="O496">
        <f>VLOOKUP(A496,[1]dataset_2!B:H,6,FALSE)</f>
        <v>72</v>
      </c>
      <c r="P496">
        <f>VLOOKUP(A496,[1]dataset_2!B:H,7,FALSE)</f>
        <v>83</v>
      </c>
      <c r="Q496" t="str">
        <f t="shared" si="21"/>
        <v>Weekend</v>
      </c>
      <c r="R496" t="str">
        <f t="shared" si="22"/>
        <v>Afternoon</v>
      </c>
      <c r="S496" t="str">
        <f t="shared" si="23"/>
        <v>Low</v>
      </c>
    </row>
    <row r="497" spans="1:19">
      <c r="A497" s="14">
        <v>496</v>
      </c>
      <c r="B497" s="15">
        <v>40565</v>
      </c>
      <c r="C497" s="14">
        <v>1</v>
      </c>
      <c r="D497" s="14">
        <v>0</v>
      </c>
      <c r="E497" s="14">
        <v>1</v>
      </c>
      <c r="F497" s="14">
        <v>17</v>
      </c>
      <c r="G497" s="14" t="b">
        <v>0</v>
      </c>
      <c r="H497" s="14">
        <v>6</v>
      </c>
      <c r="I497" s="14">
        <v>1</v>
      </c>
      <c r="J497" s="14">
        <v>0.12</v>
      </c>
      <c r="K497">
        <f>VLOOKUP(A497,[1]dataset_2!B:H,2,FALSE)</f>
        <v>0.19700000000000001</v>
      </c>
      <c r="L497">
        <f>VLOOKUP(A497,[1]dataset_2!B:H,3,FALSE)</f>
        <v>0.28000000000000003</v>
      </c>
      <c r="M497">
        <f>VLOOKUP(A497,[1]dataset_2!B:H,4,FALSE)</f>
        <v>0</v>
      </c>
      <c r="N497">
        <f>VLOOKUP(A497,[1]dataset_2!B:H,5,FALSE)</f>
        <v>8</v>
      </c>
      <c r="O497">
        <f>VLOOKUP(A497,[1]dataset_2!B:H,6,FALSE)</f>
        <v>59</v>
      </c>
      <c r="P497">
        <f>VLOOKUP(A497,[1]dataset_2!B:H,7,FALSE)</f>
        <v>67</v>
      </c>
      <c r="Q497" t="str">
        <f t="shared" si="21"/>
        <v>Weekend</v>
      </c>
      <c r="R497" t="str">
        <f t="shared" si="22"/>
        <v>Afternoon</v>
      </c>
      <c r="S497" t="str">
        <f t="shared" si="23"/>
        <v>Low</v>
      </c>
    </row>
    <row r="498" spans="1:19">
      <c r="A498" s="14">
        <v>497</v>
      </c>
      <c r="B498" s="15">
        <v>40565</v>
      </c>
      <c r="C498" s="14">
        <v>1</v>
      </c>
      <c r="D498" s="14">
        <v>0</v>
      </c>
      <c r="E498" s="14">
        <v>1</v>
      </c>
      <c r="F498" s="14">
        <v>18</v>
      </c>
      <c r="G498" s="14" t="b">
        <v>0</v>
      </c>
      <c r="H498" s="14">
        <v>6</v>
      </c>
      <c r="I498" s="14">
        <v>1</v>
      </c>
      <c r="J498" s="14">
        <v>0.08</v>
      </c>
      <c r="K498">
        <f>VLOOKUP(A498,[1]dataset_2!B:H,2,FALSE)</f>
        <v>9.0899999999999995E-2</v>
      </c>
      <c r="L498">
        <f>VLOOKUP(A498,[1]dataset_2!B:H,3,FALSE)</f>
        <v>0.35</v>
      </c>
      <c r="M498">
        <f>VLOOKUP(A498,[1]dataset_2!B:H,4,FALSE)</f>
        <v>0.19400000000000001</v>
      </c>
      <c r="N498">
        <f>VLOOKUP(A498,[1]dataset_2!B:H,5,FALSE)</f>
        <v>0</v>
      </c>
      <c r="O498">
        <f>VLOOKUP(A498,[1]dataset_2!B:H,6,FALSE)</f>
        <v>54</v>
      </c>
      <c r="P498">
        <f>VLOOKUP(A498,[1]dataset_2!B:H,7,FALSE)</f>
        <v>54</v>
      </c>
      <c r="Q498" t="str">
        <f t="shared" si="21"/>
        <v>Weekend</v>
      </c>
      <c r="R498" t="str">
        <f t="shared" si="22"/>
        <v>Evening</v>
      </c>
      <c r="S498" t="str">
        <f t="shared" si="23"/>
        <v>Low</v>
      </c>
    </row>
    <row r="499" spans="1:19">
      <c r="A499" s="14">
        <v>498</v>
      </c>
      <c r="B499" s="15">
        <v>40565</v>
      </c>
      <c r="C499" s="14">
        <v>1</v>
      </c>
      <c r="D499" s="14">
        <v>0</v>
      </c>
      <c r="E499" s="14">
        <v>1</v>
      </c>
      <c r="F499" s="14">
        <v>19</v>
      </c>
      <c r="G499" s="14" t="b">
        <v>0</v>
      </c>
      <c r="H499" s="14">
        <v>6</v>
      </c>
      <c r="I499" s="14">
        <v>1</v>
      </c>
      <c r="J499" s="14">
        <v>0.08</v>
      </c>
      <c r="K499">
        <f>VLOOKUP(A499,[1]dataset_2!B:H,2,FALSE)</f>
        <v>0.1061</v>
      </c>
      <c r="L499">
        <f>VLOOKUP(A499,[1]dataset_2!B:H,3,FALSE)</f>
        <v>0.35</v>
      </c>
      <c r="M499">
        <f>VLOOKUP(A499,[1]dataset_2!B:H,4,FALSE)</f>
        <v>0.1343</v>
      </c>
      <c r="N499">
        <f>VLOOKUP(A499,[1]dataset_2!B:H,5,FALSE)</f>
        <v>6</v>
      </c>
      <c r="O499">
        <f>VLOOKUP(A499,[1]dataset_2!B:H,6,FALSE)</f>
        <v>53</v>
      </c>
      <c r="P499">
        <f>VLOOKUP(A499,[1]dataset_2!B:H,7,FALSE)</f>
        <v>59</v>
      </c>
      <c r="Q499" t="str">
        <f t="shared" si="21"/>
        <v>Weekend</v>
      </c>
      <c r="R499" t="str">
        <f t="shared" si="22"/>
        <v>Evening</v>
      </c>
      <c r="S499" t="str">
        <f t="shared" si="23"/>
        <v>Low</v>
      </c>
    </row>
    <row r="500" spans="1:19">
      <c r="A500" s="14">
        <v>499</v>
      </c>
      <c r="B500" s="15">
        <v>40565</v>
      </c>
      <c r="C500" s="14">
        <v>1</v>
      </c>
      <c r="D500" s="14">
        <v>0</v>
      </c>
      <c r="E500" s="14">
        <v>1</v>
      </c>
      <c r="F500" s="14">
        <v>20</v>
      </c>
      <c r="G500" s="14" t="b">
        <v>0</v>
      </c>
      <c r="H500" s="14">
        <v>6</v>
      </c>
      <c r="I500" s="14">
        <v>1</v>
      </c>
      <c r="J500" s="14">
        <v>0.06</v>
      </c>
      <c r="K500">
        <f>VLOOKUP(A500,[1]dataset_2!B:H,2,FALSE)</f>
        <v>7.5800000000000006E-2</v>
      </c>
      <c r="L500">
        <f>VLOOKUP(A500,[1]dataset_2!B:H,3,FALSE)</f>
        <v>0.45</v>
      </c>
      <c r="M500">
        <f>VLOOKUP(A500,[1]dataset_2!B:H,4,FALSE)</f>
        <v>0.16420000000000001</v>
      </c>
      <c r="N500">
        <f>VLOOKUP(A500,[1]dataset_2!B:H,5,FALSE)</f>
        <v>1</v>
      </c>
      <c r="O500">
        <f>VLOOKUP(A500,[1]dataset_2!B:H,6,FALSE)</f>
        <v>44</v>
      </c>
      <c r="P500">
        <f>VLOOKUP(A500,[1]dataset_2!B:H,7,FALSE)</f>
        <v>45</v>
      </c>
      <c r="Q500" t="str">
        <f t="shared" si="21"/>
        <v>Weekend</v>
      </c>
      <c r="R500" t="str">
        <f t="shared" si="22"/>
        <v>Evening</v>
      </c>
      <c r="S500" t="str">
        <f t="shared" si="23"/>
        <v>Low</v>
      </c>
    </row>
    <row r="501" spans="1:19">
      <c r="A501" s="14">
        <v>500</v>
      </c>
      <c r="B501" s="15">
        <v>40565</v>
      </c>
      <c r="C501" s="14">
        <v>1</v>
      </c>
      <c r="D501" s="14">
        <v>0</v>
      </c>
      <c r="E501" s="14">
        <v>1</v>
      </c>
      <c r="F501" s="14">
        <v>21</v>
      </c>
      <c r="G501" s="14" t="b">
        <v>0</v>
      </c>
      <c r="H501" s="14">
        <v>6</v>
      </c>
      <c r="I501" s="14">
        <v>1</v>
      </c>
      <c r="J501" s="14">
        <v>0.06</v>
      </c>
      <c r="K501">
        <f>VLOOKUP(A501,[1]dataset_2!B:H,2,FALSE)</f>
        <v>0.1061</v>
      </c>
      <c r="L501">
        <f>VLOOKUP(A501,[1]dataset_2!B:H,3,FALSE)</f>
        <v>0.41</v>
      </c>
      <c r="M501">
        <f>VLOOKUP(A501,[1]dataset_2!B:H,4,FALSE)</f>
        <v>8.9599999999999999E-2</v>
      </c>
      <c r="N501">
        <f>VLOOKUP(A501,[1]dataset_2!B:H,5,FALSE)</f>
        <v>0</v>
      </c>
      <c r="O501">
        <f>VLOOKUP(A501,[1]dataset_2!B:H,6,FALSE)</f>
        <v>39</v>
      </c>
      <c r="P501">
        <f>VLOOKUP(A501,[1]dataset_2!B:H,7,FALSE)</f>
        <v>39</v>
      </c>
      <c r="Q501" t="str">
        <f t="shared" si="21"/>
        <v>Weekend</v>
      </c>
      <c r="R501" t="str">
        <f t="shared" si="22"/>
        <v>Evening</v>
      </c>
      <c r="S501" t="str">
        <f t="shared" si="23"/>
        <v>Low</v>
      </c>
    </row>
    <row r="502" spans="1:19">
      <c r="A502" s="14">
        <v>501</v>
      </c>
      <c r="B502" s="15">
        <v>40565</v>
      </c>
      <c r="C502" s="14">
        <v>1</v>
      </c>
      <c r="D502" s="14">
        <v>0</v>
      </c>
      <c r="E502" s="14">
        <v>1</v>
      </c>
      <c r="F502" s="14">
        <v>22</v>
      </c>
      <c r="G502" s="14" t="b">
        <v>0</v>
      </c>
      <c r="H502" s="14">
        <v>6</v>
      </c>
      <c r="I502" s="14">
        <v>1</v>
      </c>
      <c r="J502" s="14">
        <v>0.06</v>
      </c>
      <c r="K502">
        <f>VLOOKUP(A502,[1]dataset_2!B:H,2,FALSE)</f>
        <v>0.1515</v>
      </c>
      <c r="L502">
        <f>VLOOKUP(A502,[1]dataset_2!B:H,3,FALSE)</f>
        <v>0.49</v>
      </c>
      <c r="M502">
        <f>VLOOKUP(A502,[1]dataset_2!B:H,4,FALSE)</f>
        <v>0</v>
      </c>
      <c r="N502">
        <f>VLOOKUP(A502,[1]dataset_2!B:H,5,FALSE)</f>
        <v>7</v>
      </c>
      <c r="O502">
        <f>VLOOKUP(A502,[1]dataset_2!B:H,6,FALSE)</f>
        <v>23</v>
      </c>
      <c r="P502">
        <f>VLOOKUP(A502,[1]dataset_2!B:H,7,FALSE)</f>
        <v>30</v>
      </c>
      <c r="Q502" t="str">
        <f t="shared" si="21"/>
        <v>Weekend</v>
      </c>
      <c r="R502" t="str">
        <f t="shared" si="22"/>
        <v>Evening</v>
      </c>
      <c r="S502" t="str">
        <f t="shared" si="23"/>
        <v>Low</v>
      </c>
    </row>
    <row r="503" spans="1:19">
      <c r="A503" s="14">
        <v>502</v>
      </c>
      <c r="B503" s="15">
        <v>40565</v>
      </c>
      <c r="C503" s="14">
        <v>1</v>
      </c>
      <c r="D503" s="14">
        <v>0</v>
      </c>
      <c r="E503" s="14">
        <v>1</v>
      </c>
      <c r="F503" s="14">
        <v>23</v>
      </c>
      <c r="G503" s="14" t="b">
        <v>0</v>
      </c>
      <c r="H503" s="14">
        <v>6</v>
      </c>
      <c r="I503" s="14">
        <v>1</v>
      </c>
      <c r="J503" s="14">
        <v>0.04</v>
      </c>
      <c r="K503">
        <f>VLOOKUP(A503,[1]dataset_2!B:H,2,FALSE)</f>
        <v>7.5800000000000006E-2</v>
      </c>
      <c r="L503">
        <f>VLOOKUP(A503,[1]dataset_2!B:H,3,FALSE)</f>
        <v>0.56999999999999995</v>
      </c>
      <c r="M503">
        <f>VLOOKUP(A503,[1]dataset_2!B:H,4,FALSE)</f>
        <v>0.1045</v>
      </c>
      <c r="N503">
        <f>VLOOKUP(A503,[1]dataset_2!B:H,5,FALSE)</f>
        <v>2</v>
      </c>
      <c r="O503">
        <f>VLOOKUP(A503,[1]dataset_2!B:H,6,FALSE)</f>
        <v>31</v>
      </c>
      <c r="P503">
        <f>VLOOKUP(A503,[1]dataset_2!B:H,7,FALSE)</f>
        <v>33</v>
      </c>
      <c r="Q503" t="str">
        <f t="shared" si="21"/>
        <v>Weekend</v>
      </c>
      <c r="R503" t="str">
        <f t="shared" si="22"/>
        <v>Evening</v>
      </c>
      <c r="S503" t="str">
        <f t="shared" si="23"/>
        <v>Low</v>
      </c>
    </row>
    <row r="504" spans="1:19">
      <c r="A504" s="14">
        <v>503</v>
      </c>
      <c r="B504" s="15">
        <v>40566</v>
      </c>
      <c r="C504" s="14">
        <v>1</v>
      </c>
      <c r="D504" s="14">
        <v>0</v>
      </c>
      <c r="E504" s="14">
        <v>1</v>
      </c>
      <c r="F504" s="14">
        <v>0</v>
      </c>
      <c r="G504" s="14" t="b">
        <v>0</v>
      </c>
      <c r="H504" s="14">
        <v>0</v>
      </c>
      <c r="I504" s="14">
        <v>1</v>
      </c>
      <c r="J504" s="14">
        <v>0.04</v>
      </c>
      <c r="K504">
        <f>VLOOKUP(A504,[1]dataset_2!B:H,2,FALSE)</f>
        <v>7.5800000000000006E-2</v>
      </c>
      <c r="L504">
        <f>VLOOKUP(A504,[1]dataset_2!B:H,3,FALSE)</f>
        <v>0.56999999999999995</v>
      </c>
      <c r="M504">
        <f>VLOOKUP(A504,[1]dataset_2!B:H,4,FALSE)</f>
        <v>0.1045</v>
      </c>
      <c r="N504">
        <f>VLOOKUP(A504,[1]dataset_2!B:H,5,FALSE)</f>
        <v>2</v>
      </c>
      <c r="O504">
        <f>VLOOKUP(A504,[1]dataset_2!B:H,6,FALSE)</f>
        <v>20</v>
      </c>
      <c r="P504">
        <f>VLOOKUP(A504,[1]dataset_2!B:H,7,FALSE)</f>
        <v>22</v>
      </c>
      <c r="Q504" t="str">
        <f t="shared" si="21"/>
        <v>Weekend</v>
      </c>
      <c r="R504" t="str">
        <f t="shared" si="22"/>
        <v>Morning</v>
      </c>
      <c r="S504" t="str">
        <f t="shared" si="23"/>
        <v>Low</v>
      </c>
    </row>
    <row r="505" spans="1:19">
      <c r="A505" s="14">
        <v>504</v>
      </c>
      <c r="B505" s="15">
        <v>40566</v>
      </c>
      <c r="C505" s="14">
        <v>1</v>
      </c>
      <c r="D505" s="14">
        <v>0</v>
      </c>
      <c r="E505" s="14">
        <v>1</v>
      </c>
      <c r="F505" s="14">
        <v>1</v>
      </c>
      <c r="G505" s="14" t="b">
        <v>0</v>
      </c>
      <c r="H505" s="14">
        <v>0</v>
      </c>
      <c r="I505" s="14">
        <v>1</v>
      </c>
      <c r="J505" s="14">
        <v>0.04</v>
      </c>
      <c r="K505">
        <f>VLOOKUP(A505,[1]dataset_2!B:H,2,FALSE)</f>
        <v>7.5800000000000006E-2</v>
      </c>
      <c r="L505">
        <f>VLOOKUP(A505,[1]dataset_2!B:H,3,FALSE)</f>
        <v>0.56999999999999995</v>
      </c>
      <c r="M505">
        <f>VLOOKUP(A505,[1]dataset_2!B:H,4,FALSE)</f>
        <v>0.1045</v>
      </c>
      <c r="N505">
        <f>VLOOKUP(A505,[1]dataset_2!B:H,5,FALSE)</f>
        <v>1</v>
      </c>
      <c r="O505">
        <f>VLOOKUP(A505,[1]dataset_2!B:H,6,FALSE)</f>
        <v>12</v>
      </c>
      <c r="P505">
        <f>VLOOKUP(A505,[1]dataset_2!B:H,7,FALSE)</f>
        <v>13</v>
      </c>
      <c r="Q505" t="str">
        <f t="shared" si="21"/>
        <v>Weekend</v>
      </c>
      <c r="R505" t="str">
        <f t="shared" si="22"/>
        <v>Morning</v>
      </c>
      <c r="S505" t="str">
        <f t="shared" si="23"/>
        <v>Low</v>
      </c>
    </row>
    <row r="506" spans="1:19">
      <c r="A506" s="14">
        <v>505</v>
      </c>
      <c r="B506" s="15">
        <v>40566</v>
      </c>
      <c r="C506" s="14">
        <v>1</v>
      </c>
      <c r="D506" s="14">
        <v>0</v>
      </c>
      <c r="E506" s="14">
        <v>1</v>
      </c>
      <c r="F506" s="14">
        <v>2</v>
      </c>
      <c r="G506" s="14" t="b">
        <v>0</v>
      </c>
      <c r="H506" s="14">
        <v>0</v>
      </c>
      <c r="I506" s="14">
        <v>1</v>
      </c>
      <c r="J506" s="14">
        <v>0.02</v>
      </c>
      <c r="K506">
        <f>VLOOKUP(A506,[1]dataset_2!B:H,2,FALSE)</f>
        <v>6.0600000000000001E-2</v>
      </c>
      <c r="L506">
        <f>VLOOKUP(A506,[1]dataset_2!B:H,3,FALSE)</f>
        <v>0.62</v>
      </c>
      <c r="M506">
        <f>VLOOKUP(A506,[1]dataset_2!B:H,4,FALSE)</f>
        <v>0.1343</v>
      </c>
      <c r="N506">
        <f>VLOOKUP(A506,[1]dataset_2!B:H,5,FALSE)</f>
        <v>3</v>
      </c>
      <c r="O506">
        <f>VLOOKUP(A506,[1]dataset_2!B:H,6,FALSE)</f>
        <v>15</v>
      </c>
      <c r="P506">
        <f>VLOOKUP(A506,[1]dataset_2!B:H,7,FALSE)</f>
        <v>18</v>
      </c>
      <c r="Q506" t="str">
        <f t="shared" si="21"/>
        <v>Weekend</v>
      </c>
      <c r="R506" t="str">
        <f t="shared" si="22"/>
        <v>Morning</v>
      </c>
      <c r="S506" t="str">
        <f t="shared" si="23"/>
        <v>Low</v>
      </c>
    </row>
    <row r="507" spans="1:19">
      <c r="A507" s="14">
        <v>506</v>
      </c>
      <c r="B507" s="15">
        <v>40566</v>
      </c>
      <c r="C507" s="14">
        <v>1</v>
      </c>
      <c r="D507" s="14">
        <v>0</v>
      </c>
      <c r="E507" s="14">
        <v>1</v>
      </c>
      <c r="F507" s="14">
        <v>3</v>
      </c>
      <c r="G507" s="14" t="b">
        <v>0</v>
      </c>
      <c r="H507" s="14">
        <v>0</v>
      </c>
      <c r="I507" s="14">
        <v>1</v>
      </c>
      <c r="J507" s="14">
        <v>0.02</v>
      </c>
      <c r="K507">
        <f>VLOOKUP(A507,[1]dataset_2!B:H,2,FALSE)</f>
        <v>6.0600000000000001E-2</v>
      </c>
      <c r="L507">
        <f>VLOOKUP(A507,[1]dataset_2!B:H,3,FALSE)</f>
        <v>0.62</v>
      </c>
      <c r="M507">
        <f>VLOOKUP(A507,[1]dataset_2!B:H,4,FALSE)</f>
        <v>0.1343</v>
      </c>
      <c r="N507">
        <f>VLOOKUP(A507,[1]dataset_2!B:H,5,FALSE)</f>
        <v>1</v>
      </c>
      <c r="O507">
        <f>VLOOKUP(A507,[1]dataset_2!B:H,6,FALSE)</f>
        <v>4</v>
      </c>
      <c r="P507">
        <f>VLOOKUP(A507,[1]dataset_2!B:H,7,FALSE)</f>
        <v>5</v>
      </c>
      <c r="Q507" t="str">
        <f t="shared" si="21"/>
        <v>Weekend</v>
      </c>
      <c r="R507" t="str">
        <f t="shared" si="22"/>
        <v>Morning</v>
      </c>
      <c r="S507" t="str">
        <f t="shared" si="23"/>
        <v>Low</v>
      </c>
    </row>
    <row r="508" spans="1:19">
      <c r="A508" s="14">
        <v>507</v>
      </c>
      <c r="B508" s="15">
        <v>40566</v>
      </c>
      <c r="C508" s="14">
        <v>1</v>
      </c>
      <c r="D508" s="14">
        <v>0</v>
      </c>
      <c r="E508" s="14">
        <v>1</v>
      </c>
      <c r="F508" s="14">
        <v>5</v>
      </c>
      <c r="G508" s="14" t="b">
        <v>0</v>
      </c>
      <c r="H508" s="14">
        <v>0</v>
      </c>
      <c r="I508" s="14">
        <v>2</v>
      </c>
      <c r="J508" s="14">
        <v>0.04</v>
      </c>
      <c r="K508">
        <f>VLOOKUP(A508,[1]dataset_2!B:H,2,FALSE)</f>
        <v>7.5800000000000006E-2</v>
      </c>
      <c r="L508">
        <f>VLOOKUP(A508,[1]dataset_2!B:H,3,FALSE)</f>
        <v>0.56999999999999995</v>
      </c>
      <c r="M508">
        <f>VLOOKUP(A508,[1]dataset_2!B:H,4,FALSE)</f>
        <v>0.1045</v>
      </c>
      <c r="N508">
        <f>VLOOKUP(A508,[1]dataset_2!B:H,5,FALSE)</f>
        <v>0</v>
      </c>
      <c r="O508">
        <f>VLOOKUP(A508,[1]dataset_2!B:H,6,FALSE)</f>
        <v>3</v>
      </c>
      <c r="P508">
        <f>VLOOKUP(A508,[1]dataset_2!B:H,7,FALSE)</f>
        <v>3</v>
      </c>
      <c r="Q508" t="str">
        <f t="shared" si="21"/>
        <v>Weekend</v>
      </c>
      <c r="R508" t="str">
        <f t="shared" si="22"/>
        <v>Morning</v>
      </c>
      <c r="S508" t="str">
        <f t="shared" si="23"/>
        <v>Low</v>
      </c>
    </row>
    <row r="509" spans="1:19">
      <c r="A509" s="14">
        <v>508</v>
      </c>
      <c r="B509" s="15">
        <v>40566</v>
      </c>
      <c r="C509" s="14">
        <v>1</v>
      </c>
      <c r="D509" s="14">
        <v>0</v>
      </c>
      <c r="E509" s="14">
        <v>1</v>
      </c>
      <c r="F509" s="14">
        <v>6</v>
      </c>
      <c r="G509" s="14" t="b">
        <v>0</v>
      </c>
      <c r="H509" s="14">
        <v>0</v>
      </c>
      <c r="I509" s="14">
        <v>2</v>
      </c>
      <c r="J509" s="14">
        <v>0.04</v>
      </c>
      <c r="K509">
        <f>VLOOKUP(A509,[1]dataset_2!B:H,2,FALSE)</f>
        <v>7.5800000000000006E-2</v>
      </c>
      <c r="L509">
        <f>VLOOKUP(A509,[1]dataset_2!B:H,3,FALSE)</f>
        <v>0.56999999999999995</v>
      </c>
      <c r="M509">
        <f>VLOOKUP(A509,[1]dataset_2!B:H,4,FALSE)</f>
        <v>0.1045</v>
      </c>
      <c r="N509">
        <f>VLOOKUP(A509,[1]dataset_2!B:H,5,FALSE)</f>
        <v>0</v>
      </c>
      <c r="O509">
        <f>VLOOKUP(A509,[1]dataset_2!B:H,6,FALSE)</f>
        <v>1</v>
      </c>
      <c r="P509">
        <f>VLOOKUP(A509,[1]dataset_2!B:H,7,FALSE)</f>
        <v>1</v>
      </c>
      <c r="Q509" t="str">
        <f t="shared" si="21"/>
        <v>Weekend</v>
      </c>
      <c r="R509" t="str">
        <f t="shared" si="22"/>
        <v>Morning</v>
      </c>
      <c r="S509" t="str">
        <f t="shared" si="23"/>
        <v>Low</v>
      </c>
    </row>
    <row r="510" spans="1:19">
      <c r="A510" s="14">
        <v>509</v>
      </c>
      <c r="B510" s="15">
        <v>40566</v>
      </c>
      <c r="C510" s="14">
        <v>1</v>
      </c>
      <c r="D510" s="14">
        <v>0</v>
      </c>
      <c r="E510" s="14">
        <v>1</v>
      </c>
      <c r="F510" s="14">
        <v>7</v>
      </c>
      <c r="G510" s="14" t="b">
        <v>0</v>
      </c>
      <c r="H510" s="14">
        <v>0</v>
      </c>
      <c r="I510" s="14">
        <v>1</v>
      </c>
      <c r="J510" s="14">
        <v>0.08</v>
      </c>
      <c r="K510">
        <f>VLOOKUP(A510,[1]dataset_2!B:H,2,FALSE)</f>
        <v>0.1061</v>
      </c>
      <c r="L510">
        <f>VLOOKUP(A510,[1]dataset_2!B:H,3,FALSE)</f>
        <v>0.57999999999999996</v>
      </c>
      <c r="M510">
        <f>VLOOKUP(A510,[1]dataset_2!B:H,4,FALSE)</f>
        <v>0.16420000000000001</v>
      </c>
      <c r="N510">
        <f>VLOOKUP(A510,[1]dataset_2!B:H,5,FALSE)</f>
        <v>1</v>
      </c>
      <c r="O510">
        <f>VLOOKUP(A510,[1]dataset_2!B:H,6,FALSE)</f>
        <v>1</v>
      </c>
      <c r="P510">
        <f>VLOOKUP(A510,[1]dataset_2!B:H,7,FALSE)</f>
        <v>2</v>
      </c>
      <c r="Q510" t="str">
        <f t="shared" si="21"/>
        <v>Weekend</v>
      </c>
      <c r="R510" t="str">
        <f t="shared" si="22"/>
        <v>Morning</v>
      </c>
      <c r="S510" t="str">
        <f t="shared" si="23"/>
        <v>Low</v>
      </c>
    </row>
    <row r="511" spans="1:19">
      <c r="A511" s="14">
        <v>510</v>
      </c>
      <c r="B511" s="15">
        <v>40566</v>
      </c>
      <c r="C511" s="14">
        <v>1</v>
      </c>
      <c r="D511" s="14">
        <v>0</v>
      </c>
      <c r="E511" s="14">
        <v>1</v>
      </c>
      <c r="F511" s="14">
        <v>8</v>
      </c>
      <c r="G511" s="14" t="b">
        <v>0</v>
      </c>
      <c r="H511" s="14">
        <v>0</v>
      </c>
      <c r="I511" s="14">
        <v>1</v>
      </c>
      <c r="J511" s="14">
        <v>0.06</v>
      </c>
      <c r="K511">
        <f>VLOOKUP(A511,[1]dataset_2!B:H,2,FALSE)</f>
        <v>7.5800000000000006E-2</v>
      </c>
      <c r="L511">
        <f>VLOOKUP(A511,[1]dataset_2!B:H,3,FALSE)</f>
        <v>0.62</v>
      </c>
      <c r="M511">
        <f>VLOOKUP(A511,[1]dataset_2!B:H,4,FALSE)</f>
        <v>0.16420000000000001</v>
      </c>
      <c r="N511">
        <f>VLOOKUP(A511,[1]dataset_2!B:H,5,FALSE)</f>
        <v>2</v>
      </c>
      <c r="O511">
        <f>VLOOKUP(A511,[1]dataset_2!B:H,6,FALSE)</f>
        <v>17</v>
      </c>
      <c r="P511">
        <f>VLOOKUP(A511,[1]dataset_2!B:H,7,FALSE)</f>
        <v>19</v>
      </c>
      <c r="Q511" t="str">
        <f t="shared" si="21"/>
        <v>Weekend</v>
      </c>
      <c r="R511" t="str">
        <f t="shared" si="22"/>
        <v>Morning</v>
      </c>
      <c r="S511" t="str">
        <f t="shared" si="23"/>
        <v>Low</v>
      </c>
    </row>
    <row r="512" spans="1:19">
      <c r="A512" s="14">
        <v>511</v>
      </c>
      <c r="B512" s="15">
        <v>40566</v>
      </c>
      <c r="C512" s="14">
        <v>1</v>
      </c>
      <c r="D512" s="14">
        <v>0</v>
      </c>
      <c r="E512" s="14">
        <v>1</v>
      </c>
      <c r="F512" s="14">
        <v>9</v>
      </c>
      <c r="G512" s="14" t="b">
        <v>0</v>
      </c>
      <c r="H512" s="14">
        <v>0</v>
      </c>
      <c r="I512" s="14">
        <v>1</v>
      </c>
      <c r="J512" s="14">
        <v>0.1</v>
      </c>
      <c r="K512">
        <f>VLOOKUP(A512,[1]dataset_2!B:H,2,FALSE)</f>
        <v>7.5800000000000006E-2</v>
      </c>
      <c r="L512">
        <f>VLOOKUP(A512,[1]dataset_2!B:H,3,FALSE)</f>
        <v>0.54</v>
      </c>
      <c r="M512">
        <f>VLOOKUP(A512,[1]dataset_2!B:H,4,FALSE)</f>
        <v>0.35820000000000002</v>
      </c>
      <c r="N512">
        <f>VLOOKUP(A512,[1]dataset_2!B:H,5,FALSE)</f>
        <v>3</v>
      </c>
      <c r="O512">
        <f>VLOOKUP(A512,[1]dataset_2!B:H,6,FALSE)</f>
        <v>25</v>
      </c>
      <c r="P512">
        <f>VLOOKUP(A512,[1]dataset_2!B:H,7,FALSE)</f>
        <v>28</v>
      </c>
      <c r="Q512" t="str">
        <f t="shared" si="21"/>
        <v>Weekend</v>
      </c>
      <c r="R512" t="str">
        <f t="shared" si="22"/>
        <v>Morning</v>
      </c>
      <c r="S512" t="str">
        <f t="shared" si="23"/>
        <v>Low</v>
      </c>
    </row>
    <row r="513" spans="1:19">
      <c r="A513" s="14">
        <v>512</v>
      </c>
      <c r="B513" s="15">
        <v>40566</v>
      </c>
      <c r="C513" s="14">
        <v>1</v>
      </c>
      <c r="D513" s="14">
        <v>0</v>
      </c>
      <c r="E513" s="14">
        <v>1</v>
      </c>
      <c r="F513" s="14">
        <v>10</v>
      </c>
      <c r="G513" s="14" t="b">
        <v>0</v>
      </c>
      <c r="H513" s="14">
        <v>0</v>
      </c>
      <c r="I513" s="14">
        <v>1</v>
      </c>
      <c r="J513" s="14">
        <v>0.14000000000000001</v>
      </c>
      <c r="K513">
        <f>VLOOKUP(A513,[1]dataset_2!B:H,2,FALSE)</f>
        <v>0.1061</v>
      </c>
      <c r="L513">
        <f>VLOOKUP(A513,[1]dataset_2!B:H,3,FALSE)</f>
        <v>0.46</v>
      </c>
      <c r="M513">
        <f>VLOOKUP(A513,[1]dataset_2!B:H,4,FALSE)</f>
        <v>0.3881</v>
      </c>
      <c r="N513">
        <f>VLOOKUP(A513,[1]dataset_2!B:H,5,FALSE)</f>
        <v>7</v>
      </c>
      <c r="O513">
        <f>VLOOKUP(A513,[1]dataset_2!B:H,6,FALSE)</f>
        <v>51</v>
      </c>
      <c r="P513">
        <f>VLOOKUP(A513,[1]dataset_2!B:H,7,FALSE)</f>
        <v>58</v>
      </c>
      <c r="Q513" t="str">
        <f t="shared" si="21"/>
        <v>Weekend</v>
      </c>
      <c r="R513" t="str">
        <f t="shared" si="22"/>
        <v>Morning</v>
      </c>
      <c r="S513" t="str">
        <f t="shared" si="23"/>
        <v>Low</v>
      </c>
    </row>
    <row r="514" spans="1:19">
      <c r="A514" s="14">
        <v>513</v>
      </c>
      <c r="B514" s="15">
        <v>40566</v>
      </c>
      <c r="C514" s="14">
        <v>1</v>
      </c>
      <c r="D514" s="14">
        <v>0</v>
      </c>
      <c r="E514" s="14">
        <v>1</v>
      </c>
      <c r="F514" s="14">
        <v>11</v>
      </c>
      <c r="G514" s="14" t="b">
        <v>0</v>
      </c>
      <c r="H514" s="14">
        <v>0</v>
      </c>
      <c r="I514" s="14">
        <v>1</v>
      </c>
      <c r="J514" s="14">
        <v>0.14000000000000001</v>
      </c>
      <c r="K514">
        <f>VLOOKUP(A514,[1]dataset_2!B:H,2,FALSE)</f>
        <v>0.13639999999999999</v>
      </c>
      <c r="L514">
        <f>VLOOKUP(A514,[1]dataset_2!B:H,3,FALSE)</f>
        <v>0.43</v>
      </c>
      <c r="M514">
        <f>VLOOKUP(A514,[1]dataset_2!B:H,4,FALSE)</f>
        <v>0.22389999999999999</v>
      </c>
      <c r="N514">
        <f>VLOOKUP(A514,[1]dataset_2!B:H,5,FALSE)</f>
        <v>22</v>
      </c>
      <c r="O514">
        <f>VLOOKUP(A514,[1]dataset_2!B:H,6,FALSE)</f>
        <v>77</v>
      </c>
      <c r="P514">
        <f>VLOOKUP(A514,[1]dataset_2!B:H,7,FALSE)</f>
        <v>99</v>
      </c>
      <c r="Q514" t="str">
        <f t="shared" si="21"/>
        <v>Weekend</v>
      </c>
      <c r="R514" t="str">
        <f t="shared" si="22"/>
        <v>Morning</v>
      </c>
      <c r="S514" t="str">
        <f t="shared" si="23"/>
        <v>Low</v>
      </c>
    </row>
    <row r="515" spans="1:19">
      <c r="A515" s="14">
        <v>514</v>
      </c>
      <c r="B515" s="15">
        <v>40566</v>
      </c>
      <c r="C515" s="14">
        <v>1</v>
      </c>
      <c r="D515" s="14">
        <v>0</v>
      </c>
      <c r="E515" s="14">
        <v>1</v>
      </c>
      <c r="F515" s="14">
        <v>12</v>
      </c>
      <c r="G515" s="14" t="b">
        <v>0</v>
      </c>
      <c r="H515" s="14">
        <v>0</v>
      </c>
      <c r="I515" s="14">
        <v>1</v>
      </c>
      <c r="J515" s="14">
        <v>0.16</v>
      </c>
      <c r="K515">
        <f>VLOOKUP(A515,[1]dataset_2!B:H,2,FALSE)</f>
        <v>0.1212</v>
      </c>
      <c r="L515">
        <f>VLOOKUP(A515,[1]dataset_2!B:H,3,FALSE)</f>
        <v>0.37</v>
      </c>
      <c r="M515">
        <f>VLOOKUP(A515,[1]dataset_2!B:H,4,FALSE)</f>
        <v>0.4627</v>
      </c>
      <c r="N515">
        <f>VLOOKUP(A515,[1]dataset_2!B:H,5,FALSE)</f>
        <v>24</v>
      </c>
      <c r="O515">
        <f>VLOOKUP(A515,[1]dataset_2!B:H,6,FALSE)</f>
        <v>92</v>
      </c>
      <c r="P515">
        <f>VLOOKUP(A515,[1]dataset_2!B:H,7,FALSE)</f>
        <v>116</v>
      </c>
      <c r="Q515" t="str">
        <f t="shared" ref="Q515:Q578" si="24">IF(OR(H515=0,H515=6),"Weekend","Weekday")</f>
        <v>Weekend</v>
      </c>
      <c r="R515" t="str">
        <f t="shared" ref="R515:R578" si="25">IF(F515&lt;12,"Morning",IF(F515&lt;18,"Afternoon","Evening"))</f>
        <v>Afternoon</v>
      </c>
      <c r="S515" t="str">
        <f t="shared" ref="S515:S578" si="26">IF(P515&gt;100,"High","Low")</f>
        <v>High</v>
      </c>
    </row>
    <row r="516" spans="1:19">
      <c r="A516" s="14">
        <v>515</v>
      </c>
      <c r="B516" s="15">
        <v>40566</v>
      </c>
      <c r="C516" s="14">
        <v>1</v>
      </c>
      <c r="D516" s="14">
        <v>0</v>
      </c>
      <c r="E516" s="14">
        <v>1</v>
      </c>
      <c r="F516" s="14">
        <v>13</v>
      </c>
      <c r="G516" s="14" t="b">
        <v>0</v>
      </c>
      <c r="H516" s="14">
        <v>0</v>
      </c>
      <c r="I516" s="14">
        <v>1</v>
      </c>
      <c r="J516" s="14">
        <v>0.14000000000000001</v>
      </c>
      <c r="K516">
        <f>VLOOKUP(A516,[1]dataset_2!B:H,2,FALSE)</f>
        <v>0.1061</v>
      </c>
      <c r="L516">
        <f>VLOOKUP(A516,[1]dataset_2!B:H,3,FALSE)</f>
        <v>0.33</v>
      </c>
      <c r="M516">
        <f>VLOOKUP(A516,[1]dataset_2!B:H,4,FALSE)</f>
        <v>0.3881</v>
      </c>
      <c r="N516">
        <f>VLOOKUP(A516,[1]dataset_2!B:H,5,FALSE)</f>
        <v>12</v>
      </c>
      <c r="O516">
        <f>VLOOKUP(A516,[1]dataset_2!B:H,6,FALSE)</f>
        <v>75</v>
      </c>
      <c r="P516">
        <f>VLOOKUP(A516,[1]dataset_2!B:H,7,FALSE)</f>
        <v>87</v>
      </c>
      <c r="Q516" t="str">
        <f t="shared" si="24"/>
        <v>Weekend</v>
      </c>
      <c r="R516" t="str">
        <f t="shared" si="25"/>
        <v>Afternoon</v>
      </c>
      <c r="S516" t="str">
        <f t="shared" si="26"/>
        <v>Low</v>
      </c>
    </row>
    <row r="517" spans="1:19">
      <c r="A517" s="14">
        <v>516</v>
      </c>
      <c r="B517" s="15">
        <v>40566</v>
      </c>
      <c r="C517" s="14">
        <v>1</v>
      </c>
      <c r="D517" s="14">
        <v>0</v>
      </c>
      <c r="E517" s="14">
        <v>1</v>
      </c>
      <c r="F517" s="14">
        <v>14</v>
      </c>
      <c r="G517" s="14" t="b">
        <v>0</v>
      </c>
      <c r="H517" s="14">
        <v>0</v>
      </c>
      <c r="I517" s="14">
        <v>1</v>
      </c>
      <c r="J517" s="14">
        <v>0.16</v>
      </c>
      <c r="K517">
        <f>VLOOKUP(A517,[1]dataset_2!B:H,2,FALSE)</f>
        <v>0.13639999999999999</v>
      </c>
      <c r="L517">
        <f>VLOOKUP(A517,[1]dataset_2!B:H,3,FALSE)</f>
        <v>0.28000000000000003</v>
      </c>
      <c r="M517">
        <f>VLOOKUP(A517,[1]dataset_2!B:H,4,FALSE)</f>
        <v>0.35820000000000002</v>
      </c>
      <c r="N517">
        <f>VLOOKUP(A517,[1]dataset_2!B:H,5,FALSE)</f>
        <v>17</v>
      </c>
      <c r="O517">
        <f>VLOOKUP(A517,[1]dataset_2!B:H,6,FALSE)</f>
        <v>93</v>
      </c>
      <c r="P517">
        <f>VLOOKUP(A517,[1]dataset_2!B:H,7,FALSE)</f>
        <v>110</v>
      </c>
      <c r="Q517" t="str">
        <f t="shared" si="24"/>
        <v>Weekend</v>
      </c>
      <c r="R517" t="str">
        <f t="shared" si="25"/>
        <v>Afternoon</v>
      </c>
      <c r="S517" t="str">
        <f t="shared" si="26"/>
        <v>High</v>
      </c>
    </row>
    <row r="518" spans="1:19">
      <c r="A518" s="14">
        <v>517</v>
      </c>
      <c r="B518" s="15">
        <v>40566</v>
      </c>
      <c r="C518" s="14">
        <v>1</v>
      </c>
      <c r="D518" s="14">
        <v>0</v>
      </c>
      <c r="E518" s="14">
        <v>1</v>
      </c>
      <c r="F518" s="14">
        <v>15</v>
      </c>
      <c r="G518" s="14" t="b">
        <v>0</v>
      </c>
      <c r="H518" s="14">
        <v>0</v>
      </c>
      <c r="I518" s="14">
        <v>1</v>
      </c>
      <c r="J518" s="14">
        <v>0.16</v>
      </c>
      <c r="K518">
        <f>VLOOKUP(A518,[1]dataset_2!B:H,2,FALSE)</f>
        <v>0.13639999999999999</v>
      </c>
      <c r="L518">
        <f>VLOOKUP(A518,[1]dataset_2!B:H,3,FALSE)</f>
        <v>0.28000000000000003</v>
      </c>
      <c r="M518">
        <f>VLOOKUP(A518,[1]dataset_2!B:H,4,FALSE)</f>
        <v>0.35820000000000002</v>
      </c>
      <c r="N518">
        <f>VLOOKUP(A518,[1]dataset_2!B:H,5,FALSE)</f>
        <v>13</v>
      </c>
      <c r="O518">
        <f>VLOOKUP(A518,[1]dataset_2!B:H,6,FALSE)</f>
        <v>64</v>
      </c>
      <c r="P518">
        <f>VLOOKUP(A518,[1]dataset_2!B:H,7,FALSE)</f>
        <v>77</v>
      </c>
      <c r="Q518" t="str">
        <f t="shared" si="24"/>
        <v>Weekend</v>
      </c>
      <c r="R518" t="str">
        <f t="shared" si="25"/>
        <v>Afternoon</v>
      </c>
      <c r="S518" t="str">
        <f t="shared" si="26"/>
        <v>Low</v>
      </c>
    </row>
    <row r="519" spans="1:19">
      <c r="A519" s="14">
        <v>518</v>
      </c>
      <c r="B519" s="15">
        <v>40566</v>
      </c>
      <c r="C519" s="14">
        <v>1</v>
      </c>
      <c r="D519" s="14">
        <v>0</v>
      </c>
      <c r="E519" s="14">
        <v>1</v>
      </c>
      <c r="F519" s="14">
        <v>16</v>
      </c>
      <c r="G519" s="14" t="b">
        <v>0</v>
      </c>
      <c r="H519" s="14">
        <v>0</v>
      </c>
      <c r="I519" s="14">
        <v>1</v>
      </c>
      <c r="J519" s="14">
        <v>0.16</v>
      </c>
      <c r="K519">
        <f>VLOOKUP(A519,[1]dataset_2!B:H,2,FALSE)</f>
        <v>0.13639999999999999</v>
      </c>
      <c r="L519">
        <f>VLOOKUP(A519,[1]dataset_2!B:H,3,FALSE)</f>
        <v>0.26</v>
      </c>
      <c r="M519">
        <f>VLOOKUP(A519,[1]dataset_2!B:H,4,FALSE)</f>
        <v>0.32840000000000003</v>
      </c>
      <c r="N519">
        <f>VLOOKUP(A519,[1]dataset_2!B:H,5,FALSE)</f>
        <v>9</v>
      </c>
      <c r="O519">
        <f>VLOOKUP(A519,[1]dataset_2!B:H,6,FALSE)</f>
        <v>56</v>
      </c>
      <c r="P519">
        <f>VLOOKUP(A519,[1]dataset_2!B:H,7,FALSE)</f>
        <v>65</v>
      </c>
      <c r="Q519" t="str">
        <f t="shared" si="24"/>
        <v>Weekend</v>
      </c>
      <c r="R519" t="str">
        <f t="shared" si="25"/>
        <v>Afternoon</v>
      </c>
      <c r="S519" t="str">
        <f t="shared" si="26"/>
        <v>Low</v>
      </c>
    </row>
    <row r="520" spans="1:19">
      <c r="A520" s="14">
        <v>519</v>
      </c>
      <c r="B520" s="15">
        <v>40566</v>
      </c>
      <c r="C520" s="14">
        <v>1</v>
      </c>
      <c r="D520" s="14">
        <v>0</v>
      </c>
      <c r="E520" s="14">
        <v>1</v>
      </c>
      <c r="F520" s="14">
        <v>17</v>
      </c>
      <c r="G520" s="14" t="b">
        <v>0</v>
      </c>
      <c r="H520" s="14">
        <v>0</v>
      </c>
      <c r="I520" s="14">
        <v>1</v>
      </c>
      <c r="J520" s="14">
        <v>0.14000000000000001</v>
      </c>
      <c r="K520">
        <f>VLOOKUP(A520,[1]dataset_2!B:H,2,FALSE)</f>
        <v>0.1061</v>
      </c>
      <c r="L520">
        <f>VLOOKUP(A520,[1]dataset_2!B:H,3,FALSE)</f>
        <v>0.26</v>
      </c>
      <c r="M520">
        <f>VLOOKUP(A520,[1]dataset_2!B:H,4,FALSE)</f>
        <v>0.3881</v>
      </c>
      <c r="N520">
        <f>VLOOKUP(A520,[1]dataset_2!B:H,5,FALSE)</f>
        <v>5</v>
      </c>
      <c r="O520">
        <f>VLOOKUP(A520,[1]dataset_2!B:H,6,FALSE)</f>
        <v>50</v>
      </c>
      <c r="P520">
        <f>VLOOKUP(A520,[1]dataset_2!B:H,7,FALSE)</f>
        <v>55</v>
      </c>
      <c r="Q520" t="str">
        <f t="shared" si="24"/>
        <v>Weekend</v>
      </c>
      <c r="R520" t="str">
        <f t="shared" si="25"/>
        <v>Afternoon</v>
      </c>
      <c r="S520" t="str">
        <f t="shared" si="26"/>
        <v>Low</v>
      </c>
    </row>
    <row r="521" spans="1:19">
      <c r="A521" s="14">
        <v>520</v>
      </c>
      <c r="B521" s="15">
        <v>40566</v>
      </c>
      <c r="C521" s="14">
        <v>1</v>
      </c>
      <c r="D521" s="14">
        <v>0</v>
      </c>
      <c r="E521" s="14">
        <v>1</v>
      </c>
      <c r="F521" s="14">
        <v>18</v>
      </c>
      <c r="G521" s="14" t="b">
        <v>0</v>
      </c>
      <c r="H521" s="14">
        <v>0</v>
      </c>
      <c r="I521" s="14">
        <v>1</v>
      </c>
      <c r="J521" s="14">
        <v>0.12</v>
      </c>
      <c r="K521">
        <f>VLOOKUP(A521,[1]dataset_2!B:H,2,FALSE)</f>
        <v>0.1212</v>
      </c>
      <c r="L521">
        <f>VLOOKUP(A521,[1]dataset_2!B:H,3,FALSE)</f>
        <v>0.3</v>
      </c>
      <c r="M521">
        <f>VLOOKUP(A521,[1]dataset_2!B:H,4,FALSE)</f>
        <v>0.25369999999999998</v>
      </c>
      <c r="N521">
        <f>VLOOKUP(A521,[1]dataset_2!B:H,5,FALSE)</f>
        <v>5</v>
      </c>
      <c r="O521">
        <f>VLOOKUP(A521,[1]dataset_2!B:H,6,FALSE)</f>
        <v>44</v>
      </c>
      <c r="P521">
        <f>VLOOKUP(A521,[1]dataset_2!B:H,7,FALSE)</f>
        <v>49</v>
      </c>
      <c r="Q521" t="str">
        <f t="shared" si="24"/>
        <v>Weekend</v>
      </c>
      <c r="R521" t="str">
        <f t="shared" si="25"/>
        <v>Evening</v>
      </c>
      <c r="S521" t="str">
        <f t="shared" si="26"/>
        <v>Low</v>
      </c>
    </row>
    <row r="522" spans="1:19">
      <c r="A522" s="14">
        <v>521</v>
      </c>
      <c r="B522" s="15">
        <v>40566</v>
      </c>
      <c r="C522" s="14">
        <v>1</v>
      </c>
      <c r="D522" s="14">
        <v>0</v>
      </c>
      <c r="E522" s="14">
        <v>1</v>
      </c>
      <c r="F522" s="14">
        <v>19</v>
      </c>
      <c r="G522" s="14" t="b">
        <v>0</v>
      </c>
      <c r="H522" s="14">
        <v>0</v>
      </c>
      <c r="I522" s="14">
        <v>1</v>
      </c>
      <c r="J522" s="14">
        <v>0.12</v>
      </c>
      <c r="K522">
        <f>VLOOKUP(A522,[1]dataset_2!B:H,2,FALSE)</f>
        <v>0.1212</v>
      </c>
      <c r="L522">
        <f>VLOOKUP(A522,[1]dataset_2!B:H,3,FALSE)</f>
        <v>0.3</v>
      </c>
      <c r="M522">
        <f>VLOOKUP(A522,[1]dataset_2!B:H,4,FALSE)</f>
        <v>0.28360000000000002</v>
      </c>
      <c r="N522">
        <f>VLOOKUP(A522,[1]dataset_2!B:H,5,FALSE)</f>
        <v>5</v>
      </c>
      <c r="O522">
        <f>VLOOKUP(A522,[1]dataset_2!B:H,6,FALSE)</f>
        <v>45</v>
      </c>
      <c r="P522">
        <f>VLOOKUP(A522,[1]dataset_2!B:H,7,FALSE)</f>
        <v>50</v>
      </c>
      <c r="Q522" t="str">
        <f t="shared" si="24"/>
        <v>Weekend</v>
      </c>
      <c r="R522" t="str">
        <f t="shared" si="25"/>
        <v>Evening</v>
      </c>
      <c r="S522" t="str">
        <f t="shared" si="26"/>
        <v>Low</v>
      </c>
    </row>
    <row r="523" spans="1:19">
      <c r="A523" s="14">
        <v>522</v>
      </c>
      <c r="B523" s="15">
        <v>40566</v>
      </c>
      <c r="C523" s="14">
        <v>1</v>
      </c>
      <c r="D523" s="14">
        <v>0</v>
      </c>
      <c r="E523" s="14">
        <v>1</v>
      </c>
      <c r="F523" s="14">
        <v>20</v>
      </c>
      <c r="G523" s="14" t="b">
        <v>0</v>
      </c>
      <c r="H523" s="14">
        <v>0</v>
      </c>
      <c r="I523" s="14">
        <v>1</v>
      </c>
      <c r="J523" s="14">
        <v>0.1</v>
      </c>
      <c r="K523">
        <f>VLOOKUP(A523,[1]dataset_2!B:H,2,FALSE)</f>
        <v>0.1061</v>
      </c>
      <c r="L523">
        <f>VLOOKUP(A523,[1]dataset_2!B:H,3,FALSE)</f>
        <v>0.36</v>
      </c>
      <c r="M523">
        <f>VLOOKUP(A523,[1]dataset_2!B:H,4,FALSE)</f>
        <v>0.25369999999999998</v>
      </c>
      <c r="N523">
        <f>VLOOKUP(A523,[1]dataset_2!B:H,5,FALSE)</f>
        <v>4</v>
      </c>
      <c r="O523">
        <f>VLOOKUP(A523,[1]dataset_2!B:H,6,FALSE)</f>
        <v>31</v>
      </c>
      <c r="P523">
        <f>VLOOKUP(A523,[1]dataset_2!B:H,7,FALSE)</f>
        <v>35</v>
      </c>
      <c r="Q523" t="str">
        <f t="shared" si="24"/>
        <v>Weekend</v>
      </c>
      <c r="R523" t="str">
        <f t="shared" si="25"/>
        <v>Evening</v>
      </c>
      <c r="S523" t="str">
        <f t="shared" si="26"/>
        <v>Low</v>
      </c>
    </row>
    <row r="524" spans="1:19">
      <c r="A524" s="14">
        <v>523</v>
      </c>
      <c r="B524" s="15">
        <v>40566</v>
      </c>
      <c r="C524" s="14">
        <v>1</v>
      </c>
      <c r="D524" s="14">
        <v>0</v>
      </c>
      <c r="E524" s="14">
        <v>1</v>
      </c>
      <c r="F524" s="14">
        <v>21</v>
      </c>
      <c r="G524" s="14" t="b">
        <v>0</v>
      </c>
      <c r="H524" s="14">
        <v>0</v>
      </c>
      <c r="I524" s="14">
        <v>1</v>
      </c>
      <c r="J524" s="14">
        <v>0.1</v>
      </c>
      <c r="K524">
        <f>VLOOKUP(A524,[1]dataset_2!B:H,2,FALSE)</f>
        <v>0.1061</v>
      </c>
      <c r="L524">
        <f>VLOOKUP(A524,[1]dataset_2!B:H,3,FALSE)</f>
        <v>0.36</v>
      </c>
      <c r="M524">
        <f>VLOOKUP(A524,[1]dataset_2!B:H,4,FALSE)</f>
        <v>0.19400000000000001</v>
      </c>
      <c r="N524">
        <f>VLOOKUP(A524,[1]dataset_2!B:H,5,FALSE)</f>
        <v>5</v>
      </c>
      <c r="O524">
        <f>VLOOKUP(A524,[1]dataset_2!B:H,6,FALSE)</f>
        <v>20</v>
      </c>
      <c r="P524">
        <f>VLOOKUP(A524,[1]dataset_2!B:H,7,FALSE)</f>
        <v>25</v>
      </c>
      <c r="Q524" t="str">
        <f t="shared" si="24"/>
        <v>Weekend</v>
      </c>
      <c r="R524" t="str">
        <f t="shared" si="25"/>
        <v>Evening</v>
      </c>
      <c r="S524" t="str">
        <f t="shared" si="26"/>
        <v>Low</v>
      </c>
    </row>
    <row r="525" spans="1:19">
      <c r="A525" s="14">
        <v>524</v>
      </c>
      <c r="B525" s="15">
        <v>40566</v>
      </c>
      <c r="C525" s="14">
        <v>1</v>
      </c>
      <c r="D525" s="14">
        <v>0</v>
      </c>
      <c r="E525" s="14">
        <v>1</v>
      </c>
      <c r="F525" s="14">
        <v>22</v>
      </c>
      <c r="G525" s="14" t="b">
        <v>0</v>
      </c>
      <c r="H525" s="14">
        <v>0</v>
      </c>
      <c r="I525" s="14">
        <v>1</v>
      </c>
      <c r="J525" s="14">
        <v>0.08</v>
      </c>
      <c r="K525">
        <f>VLOOKUP(A525,[1]dataset_2!B:H,2,FALSE)</f>
        <v>9.0899999999999995E-2</v>
      </c>
      <c r="L525">
        <f>VLOOKUP(A525,[1]dataset_2!B:H,3,FALSE)</f>
        <v>0.38</v>
      </c>
      <c r="M525">
        <f>VLOOKUP(A525,[1]dataset_2!B:H,4,FALSE)</f>
        <v>0.19400000000000001</v>
      </c>
      <c r="N525">
        <f>VLOOKUP(A525,[1]dataset_2!B:H,5,FALSE)</f>
        <v>5</v>
      </c>
      <c r="O525">
        <f>VLOOKUP(A525,[1]dataset_2!B:H,6,FALSE)</f>
        <v>23</v>
      </c>
      <c r="P525">
        <f>VLOOKUP(A525,[1]dataset_2!B:H,7,FALSE)</f>
        <v>28</v>
      </c>
      <c r="Q525" t="str">
        <f t="shared" si="24"/>
        <v>Weekend</v>
      </c>
      <c r="R525" t="str">
        <f t="shared" si="25"/>
        <v>Evening</v>
      </c>
      <c r="S525" t="str">
        <f t="shared" si="26"/>
        <v>Low</v>
      </c>
    </row>
    <row r="526" spans="1:19">
      <c r="A526" s="14">
        <v>525</v>
      </c>
      <c r="B526" s="15">
        <v>40566</v>
      </c>
      <c r="C526" s="14">
        <v>1</v>
      </c>
      <c r="D526" s="14">
        <v>0</v>
      </c>
      <c r="E526" s="14">
        <v>1</v>
      </c>
      <c r="F526" s="14">
        <v>23</v>
      </c>
      <c r="G526" s="14" t="b">
        <v>0</v>
      </c>
      <c r="H526" s="14">
        <v>0</v>
      </c>
      <c r="I526" s="14">
        <v>1</v>
      </c>
      <c r="J526" s="14">
        <v>0.06</v>
      </c>
      <c r="K526">
        <f>VLOOKUP(A526,[1]dataset_2!B:H,2,FALSE)</f>
        <v>6.0600000000000001E-2</v>
      </c>
      <c r="L526">
        <f>VLOOKUP(A526,[1]dataset_2!B:H,3,FALSE)</f>
        <v>0.41</v>
      </c>
      <c r="M526">
        <f>VLOOKUP(A526,[1]dataset_2!B:H,4,FALSE)</f>
        <v>0.22389999999999999</v>
      </c>
      <c r="N526">
        <f>VLOOKUP(A526,[1]dataset_2!B:H,5,FALSE)</f>
        <v>4</v>
      </c>
      <c r="O526">
        <f>VLOOKUP(A526,[1]dataset_2!B:H,6,FALSE)</f>
        <v>17</v>
      </c>
      <c r="P526">
        <f>VLOOKUP(A526,[1]dataset_2!B:H,7,FALSE)</f>
        <v>21</v>
      </c>
      <c r="Q526" t="str">
        <f t="shared" si="24"/>
        <v>Weekend</v>
      </c>
      <c r="R526" t="str">
        <f t="shared" si="25"/>
        <v>Evening</v>
      </c>
      <c r="S526" t="str">
        <f t="shared" si="26"/>
        <v>Low</v>
      </c>
    </row>
    <row r="527" spans="1:19">
      <c r="A527" s="14">
        <v>526</v>
      </c>
      <c r="B527" s="15">
        <v>40567</v>
      </c>
      <c r="C527" s="14">
        <v>1</v>
      </c>
      <c r="D527" s="14">
        <v>0</v>
      </c>
      <c r="E527" s="14">
        <v>1</v>
      </c>
      <c r="F527" s="14">
        <v>0</v>
      </c>
      <c r="G527" s="14" t="b">
        <v>0</v>
      </c>
      <c r="H527" s="14">
        <v>1</v>
      </c>
      <c r="I527" s="14">
        <v>1</v>
      </c>
      <c r="J527" s="14">
        <v>0.06</v>
      </c>
      <c r="K527">
        <f>VLOOKUP(A527,[1]dataset_2!B:H,2,FALSE)</f>
        <v>6.0600000000000001E-2</v>
      </c>
      <c r="L527">
        <f>VLOOKUP(A527,[1]dataset_2!B:H,3,FALSE)</f>
        <v>0.41</v>
      </c>
      <c r="M527">
        <f>VLOOKUP(A527,[1]dataset_2!B:H,4,FALSE)</f>
        <v>0.19400000000000001</v>
      </c>
      <c r="N527">
        <f>VLOOKUP(A527,[1]dataset_2!B:H,5,FALSE)</f>
        <v>0</v>
      </c>
      <c r="O527">
        <f>VLOOKUP(A527,[1]dataset_2!B:H,6,FALSE)</f>
        <v>7</v>
      </c>
      <c r="P527">
        <f>VLOOKUP(A527,[1]dataset_2!B:H,7,FALSE)</f>
        <v>7</v>
      </c>
      <c r="Q527" t="str">
        <f t="shared" si="24"/>
        <v>Weekday</v>
      </c>
      <c r="R527" t="str">
        <f t="shared" si="25"/>
        <v>Morning</v>
      </c>
      <c r="S527" t="str">
        <f t="shared" si="26"/>
        <v>Low</v>
      </c>
    </row>
    <row r="528" spans="1:19">
      <c r="A528" s="14">
        <v>527</v>
      </c>
      <c r="B528" s="15">
        <v>40567</v>
      </c>
      <c r="C528" s="14">
        <v>1</v>
      </c>
      <c r="D528" s="14">
        <v>0</v>
      </c>
      <c r="E528" s="14">
        <v>1</v>
      </c>
      <c r="F528" s="14">
        <v>1</v>
      </c>
      <c r="G528" s="14" t="b">
        <v>0</v>
      </c>
      <c r="H528" s="14">
        <v>1</v>
      </c>
      <c r="I528" s="14">
        <v>1</v>
      </c>
      <c r="J528" s="14">
        <v>0.04</v>
      </c>
      <c r="K528">
        <f>VLOOKUP(A528,[1]dataset_2!B:H,2,FALSE)</f>
        <v>4.5499999999999999E-2</v>
      </c>
      <c r="L528">
        <f>VLOOKUP(A528,[1]dataset_2!B:H,3,FALSE)</f>
        <v>0.45</v>
      </c>
      <c r="M528">
        <f>VLOOKUP(A528,[1]dataset_2!B:H,4,FALSE)</f>
        <v>0.19400000000000001</v>
      </c>
      <c r="N528">
        <f>VLOOKUP(A528,[1]dataset_2!B:H,5,FALSE)</f>
        <v>0</v>
      </c>
      <c r="O528">
        <f>VLOOKUP(A528,[1]dataset_2!B:H,6,FALSE)</f>
        <v>1</v>
      </c>
      <c r="P528">
        <f>VLOOKUP(A528,[1]dataset_2!B:H,7,FALSE)</f>
        <v>1</v>
      </c>
      <c r="Q528" t="str">
        <f t="shared" si="24"/>
        <v>Weekday</v>
      </c>
      <c r="R528" t="str">
        <f t="shared" si="25"/>
        <v>Morning</v>
      </c>
      <c r="S528" t="str">
        <f t="shared" si="26"/>
        <v>Low</v>
      </c>
    </row>
    <row r="529" spans="1:19">
      <c r="A529" s="14">
        <v>528</v>
      </c>
      <c r="B529" s="15">
        <v>40567</v>
      </c>
      <c r="C529" s="14">
        <v>1</v>
      </c>
      <c r="D529" s="14">
        <v>0</v>
      </c>
      <c r="E529" s="14">
        <v>1</v>
      </c>
      <c r="F529" s="14">
        <v>3</v>
      </c>
      <c r="G529" s="14" t="b">
        <v>0</v>
      </c>
      <c r="H529" s="14">
        <v>1</v>
      </c>
      <c r="I529" s="14">
        <v>1</v>
      </c>
      <c r="J529" s="14">
        <v>0.04</v>
      </c>
      <c r="K529">
        <f>VLOOKUP(A529,[1]dataset_2!B:H,2,FALSE)</f>
        <v>3.0300000000000001E-2</v>
      </c>
      <c r="L529">
        <f>VLOOKUP(A529,[1]dataset_2!B:H,3,FALSE)</f>
        <v>0.45</v>
      </c>
      <c r="M529">
        <f>VLOOKUP(A529,[1]dataset_2!B:H,4,FALSE)</f>
        <v>0.25369999999999998</v>
      </c>
      <c r="N529">
        <f>VLOOKUP(A529,[1]dataset_2!B:H,5,FALSE)</f>
        <v>0</v>
      </c>
      <c r="O529">
        <f>VLOOKUP(A529,[1]dataset_2!B:H,6,FALSE)</f>
        <v>1</v>
      </c>
      <c r="P529">
        <f>VLOOKUP(A529,[1]dataset_2!B:H,7,FALSE)</f>
        <v>1</v>
      </c>
      <c r="Q529" t="str">
        <f t="shared" si="24"/>
        <v>Weekday</v>
      </c>
      <c r="R529" t="str">
        <f t="shared" si="25"/>
        <v>Morning</v>
      </c>
      <c r="S529" t="str">
        <f t="shared" si="26"/>
        <v>Low</v>
      </c>
    </row>
    <row r="530" spans="1:19">
      <c r="A530" s="14">
        <v>529</v>
      </c>
      <c r="B530" s="15">
        <v>40567</v>
      </c>
      <c r="C530" s="14">
        <v>1</v>
      </c>
      <c r="D530" s="14">
        <v>0</v>
      </c>
      <c r="E530" s="14">
        <v>1</v>
      </c>
      <c r="F530" s="14">
        <v>4</v>
      </c>
      <c r="G530" s="14" t="b">
        <v>0</v>
      </c>
      <c r="H530" s="14">
        <v>1</v>
      </c>
      <c r="I530" s="14">
        <v>1</v>
      </c>
      <c r="J530" s="14">
        <v>0.02</v>
      </c>
      <c r="K530">
        <f>VLOOKUP(A530,[1]dataset_2!B:H,2,FALSE)</f>
        <v>6.0600000000000001E-2</v>
      </c>
      <c r="L530">
        <f>VLOOKUP(A530,[1]dataset_2!B:H,3,FALSE)</f>
        <v>0.48</v>
      </c>
      <c r="M530">
        <f>VLOOKUP(A530,[1]dataset_2!B:H,4,FALSE)</f>
        <v>0.1343</v>
      </c>
      <c r="N530">
        <f>VLOOKUP(A530,[1]dataset_2!B:H,5,FALSE)</f>
        <v>0</v>
      </c>
      <c r="O530">
        <f>VLOOKUP(A530,[1]dataset_2!B:H,6,FALSE)</f>
        <v>1</v>
      </c>
      <c r="P530">
        <f>VLOOKUP(A530,[1]dataset_2!B:H,7,FALSE)</f>
        <v>1</v>
      </c>
      <c r="Q530" t="str">
        <f t="shared" si="24"/>
        <v>Weekday</v>
      </c>
      <c r="R530" t="str">
        <f t="shared" si="25"/>
        <v>Morning</v>
      </c>
      <c r="S530" t="str">
        <f t="shared" si="26"/>
        <v>Low</v>
      </c>
    </row>
    <row r="531" spans="1:19">
      <c r="A531" s="14">
        <v>530</v>
      </c>
      <c r="B531" s="15">
        <v>40567</v>
      </c>
      <c r="C531" s="14">
        <v>1</v>
      </c>
      <c r="D531" s="14">
        <v>0</v>
      </c>
      <c r="E531" s="14">
        <v>1</v>
      </c>
      <c r="F531" s="14">
        <v>5</v>
      </c>
      <c r="G531" s="14" t="b">
        <v>0</v>
      </c>
      <c r="H531" s="14">
        <v>1</v>
      </c>
      <c r="I531" s="14">
        <v>1</v>
      </c>
      <c r="J531" s="14">
        <v>0.02</v>
      </c>
      <c r="K531">
        <f>VLOOKUP(A531,[1]dataset_2!B:H,2,FALSE)</f>
        <v>6.0600000000000001E-2</v>
      </c>
      <c r="L531">
        <f>VLOOKUP(A531,[1]dataset_2!B:H,3,FALSE)</f>
        <v>0.48</v>
      </c>
      <c r="M531">
        <f>VLOOKUP(A531,[1]dataset_2!B:H,4,FALSE)</f>
        <v>0.1343</v>
      </c>
      <c r="N531">
        <f>VLOOKUP(A531,[1]dataset_2!B:H,5,FALSE)</f>
        <v>0</v>
      </c>
      <c r="O531">
        <f>VLOOKUP(A531,[1]dataset_2!B:H,6,FALSE)</f>
        <v>5</v>
      </c>
      <c r="P531">
        <f>VLOOKUP(A531,[1]dataset_2!B:H,7,FALSE)</f>
        <v>5</v>
      </c>
      <c r="Q531" t="str">
        <f t="shared" si="24"/>
        <v>Weekday</v>
      </c>
      <c r="R531" t="str">
        <f t="shared" si="25"/>
        <v>Morning</v>
      </c>
      <c r="S531" t="str">
        <f t="shared" si="26"/>
        <v>Low</v>
      </c>
    </row>
    <row r="532" spans="1:19">
      <c r="A532" s="14">
        <v>531</v>
      </c>
      <c r="B532" s="15">
        <v>40567</v>
      </c>
      <c r="C532" s="14">
        <v>1</v>
      </c>
      <c r="D532" s="14">
        <v>0</v>
      </c>
      <c r="E532" s="14">
        <v>1</v>
      </c>
      <c r="F532" s="14">
        <v>6</v>
      </c>
      <c r="G532" s="14" t="b">
        <v>0</v>
      </c>
      <c r="H532" s="14">
        <v>1</v>
      </c>
      <c r="I532" s="14">
        <v>1</v>
      </c>
      <c r="J532" s="14">
        <v>0.02</v>
      </c>
      <c r="K532">
        <f>VLOOKUP(A532,[1]dataset_2!B:H,2,FALSE)</f>
        <v>7.5800000000000006E-2</v>
      </c>
      <c r="L532">
        <f>VLOOKUP(A532,[1]dataset_2!B:H,3,FALSE)</f>
        <v>0.48</v>
      </c>
      <c r="M532">
        <f>VLOOKUP(A532,[1]dataset_2!B:H,4,FALSE)</f>
        <v>8.9599999999999999E-2</v>
      </c>
      <c r="N532">
        <f>VLOOKUP(A532,[1]dataset_2!B:H,5,FALSE)</f>
        <v>0</v>
      </c>
      <c r="O532">
        <f>VLOOKUP(A532,[1]dataset_2!B:H,6,FALSE)</f>
        <v>15</v>
      </c>
      <c r="P532">
        <f>VLOOKUP(A532,[1]dataset_2!B:H,7,FALSE)</f>
        <v>15</v>
      </c>
      <c r="Q532" t="str">
        <f t="shared" si="24"/>
        <v>Weekday</v>
      </c>
      <c r="R532" t="str">
        <f t="shared" si="25"/>
        <v>Morning</v>
      </c>
      <c r="S532" t="str">
        <f t="shared" si="26"/>
        <v>Low</v>
      </c>
    </row>
    <row r="533" spans="1:19">
      <c r="A533" s="14">
        <v>532</v>
      </c>
      <c r="B533" s="15">
        <v>40567</v>
      </c>
      <c r="C533" s="14">
        <v>1</v>
      </c>
      <c r="D533" s="14">
        <v>0</v>
      </c>
      <c r="E533" s="14">
        <v>1</v>
      </c>
      <c r="F533" s="14">
        <v>7</v>
      </c>
      <c r="G533" s="14" t="b">
        <v>0</v>
      </c>
      <c r="H533" s="14">
        <v>1</v>
      </c>
      <c r="I533" s="14">
        <v>1</v>
      </c>
      <c r="J533" s="14">
        <v>0.02</v>
      </c>
      <c r="K533">
        <f>VLOOKUP(A533,[1]dataset_2!B:H,2,FALSE)</f>
        <v>0.1212</v>
      </c>
      <c r="L533">
        <f>VLOOKUP(A533,[1]dataset_2!B:H,3,FALSE)</f>
        <v>0.48</v>
      </c>
      <c r="M533">
        <f>VLOOKUP(A533,[1]dataset_2!B:H,4,FALSE)</f>
        <v>0</v>
      </c>
      <c r="N533">
        <f>VLOOKUP(A533,[1]dataset_2!B:H,5,FALSE)</f>
        <v>5</v>
      </c>
      <c r="O533">
        <f>VLOOKUP(A533,[1]dataset_2!B:H,6,FALSE)</f>
        <v>79</v>
      </c>
      <c r="P533">
        <f>VLOOKUP(A533,[1]dataset_2!B:H,7,FALSE)</f>
        <v>84</v>
      </c>
      <c r="Q533" t="str">
        <f t="shared" si="24"/>
        <v>Weekday</v>
      </c>
      <c r="R533" t="str">
        <f t="shared" si="25"/>
        <v>Morning</v>
      </c>
      <c r="S533" t="str">
        <f t="shared" si="26"/>
        <v>Low</v>
      </c>
    </row>
    <row r="534" spans="1:19">
      <c r="A534" s="14">
        <v>533</v>
      </c>
      <c r="B534" s="15">
        <v>40567</v>
      </c>
      <c r="C534" s="14">
        <v>1</v>
      </c>
      <c r="D534" s="14">
        <v>0</v>
      </c>
      <c r="E534" s="14">
        <v>1</v>
      </c>
      <c r="F534" s="14">
        <v>8</v>
      </c>
      <c r="G534" s="14" t="b">
        <v>0</v>
      </c>
      <c r="H534" s="14">
        <v>1</v>
      </c>
      <c r="I534" s="14">
        <v>1</v>
      </c>
      <c r="J534" s="14">
        <v>0.04</v>
      </c>
      <c r="K534">
        <f>VLOOKUP(A534,[1]dataset_2!B:H,2,FALSE)</f>
        <v>0.13639999999999999</v>
      </c>
      <c r="L534">
        <f>VLOOKUP(A534,[1]dataset_2!B:H,3,FALSE)</f>
        <v>0.49</v>
      </c>
      <c r="M534">
        <f>VLOOKUP(A534,[1]dataset_2!B:H,4,FALSE)</f>
        <v>0</v>
      </c>
      <c r="N534">
        <f>VLOOKUP(A534,[1]dataset_2!B:H,5,FALSE)</f>
        <v>6</v>
      </c>
      <c r="O534">
        <f>VLOOKUP(A534,[1]dataset_2!B:H,6,FALSE)</f>
        <v>171</v>
      </c>
      <c r="P534">
        <f>VLOOKUP(A534,[1]dataset_2!B:H,7,FALSE)</f>
        <v>177</v>
      </c>
      <c r="Q534" t="str">
        <f t="shared" si="24"/>
        <v>Weekday</v>
      </c>
      <c r="R534" t="str">
        <f t="shared" si="25"/>
        <v>Morning</v>
      </c>
      <c r="S534" t="str">
        <f t="shared" si="26"/>
        <v>High</v>
      </c>
    </row>
    <row r="535" spans="1:19">
      <c r="A535" s="14">
        <v>534</v>
      </c>
      <c r="B535" s="15">
        <v>40567</v>
      </c>
      <c r="C535" s="14">
        <v>1</v>
      </c>
      <c r="D535" s="14">
        <v>0</v>
      </c>
      <c r="E535" s="14">
        <v>1</v>
      </c>
      <c r="F535" s="14">
        <v>9</v>
      </c>
      <c r="G535" s="14" t="b">
        <v>0</v>
      </c>
      <c r="H535" s="14">
        <v>1</v>
      </c>
      <c r="I535" s="14">
        <v>1</v>
      </c>
      <c r="J535" s="14">
        <v>0.06</v>
      </c>
      <c r="K535">
        <f>VLOOKUP(A535,[1]dataset_2!B:H,2,FALSE)</f>
        <v>0.1515</v>
      </c>
      <c r="L535">
        <f>VLOOKUP(A535,[1]dataset_2!B:H,3,FALSE)</f>
        <v>0.41</v>
      </c>
      <c r="M535">
        <f>VLOOKUP(A535,[1]dataset_2!B:H,4,FALSE)</f>
        <v>0</v>
      </c>
      <c r="N535">
        <f>VLOOKUP(A535,[1]dataset_2!B:H,5,FALSE)</f>
        <v>4</v>
      </c>
      <c r="O535">
        <f>VLOOKUP(A535,[1]dataset_2!B:H,6,FALSE)</f>
        <v>98</v>
      </c>
      <c r="P535">
        <f>VLOOKUP(A535,[1]dataset_2!B:H,7,FALSE)</f>
        <v>102</v>
      </c>
      <c r="Q535" t="str">
        <f t="shared" si="24"/>
        <v>Weekday</v>
      </c>
      <c r="R535" t="str">
        <f t="shared" si="25"/>
        <v>Morning</v>
      </c>
      <c r="S535" t="str">
        <f t="shared" si="26"/>
        <v>High</v>
      </c>
    </row>
    <row r="536" spans="1:19">
      <c r="A536" s="14">
        <v>535</v>
      </c>
      <c r="B536" s="15">
        <v>40567</v>
      </c>
      <c r="C536" s="14">
        <v>1</v>
      </c>
      <c r="D536" s="14">
        <v>0</v>
      </c>
      <c r="E536" s="14">
        <v>1</v>
      </c>
      <c r="F536" s="14">
        <v>10</v>
      </c>
      <c r="G536" s="14" t="b">
        <v>0</v>
      </c>
      <c r="H536" s="14">
        <v>1</v>
      </c>
      <c r="I536" s="14">
        <v>1</v>
      </c>
      <c r="J536" s="14">
        <v>0.1</v>
      </c>
      <c r="K536">
        <f>VLOOKUP(A536,[1]dataset_2!B:H,2,FALSE)</f>
        <v>0.13639999999999999</v>
      </c>
      <c r="L536">
        <f>VLOOKUP(A536,[1]dataset_2!B:H,3,FALSE)</f>
        <v>0.42</v>
      </c>
      <c r="M536">
        <f>VLOOKUP(A536,[1]dataset_2!B:H,4,FALSE)</f>
        <v>0</v>
      </c>
      <c r="N536">
        <f>VLOOKUP(A536,[1]dataset_2!B:H,5,FALSE)</f>
        <v>6</v>
      </c>
      <c r="O536">
        <f>VLOOKUP(A536,[1]dataset_2!B:H,6,FALSE)</f>
        <v>34</v>
      </c>
      <c r="P536">
        <f>VLOOKUP(A536,[1]dataset_2!B:H,7,FALSE)</f>
        <v>40</v>
      </c>
      <c r="Q536" t="str">
        <f t="shared" si="24"/>
        <v>Weekday</v>
      </c>
      <c r="R536" t="str">
        <f t="shared" si="25"/>
        <v>Morning</v>
      </c>
      <c r="S536" t="str">
        <f t="shared" si="26"/>
        <v>Low</v>
      </c>
    </row>
    <row r="537" spans="1:19">
      <c r="A537" s="14">
        <v>536</v>
      </c>
      <c r="B537" s="15">
        <v>40567</v>
      </c>
      <c r="C537" s="14">
        <v>1</v>
      </c>
      <c r="D537" s="14">
        <v>0</v>
      </c>
      <c r="E537" s="14">
        <v>1</v>
      </c>
      <c r="F537" s="14">
        <v>11</v>
      </c>
      <c r="G537" s="14" t="b">
        <v>0</v>
      </c>
      <c r="H537" s="14">
        <v>1</v>
      </c>
      <c r="I537" s="14">
        <v>1</v>
      </c>
      <c r="J537" s="14">
        <v>0.1</v>
      </c>
      <c r="K537">
        <f>VLOOKUP(A537,[1]dataset_2!B:H,2,FALSE)</f>
        <v>0.1212</v>
      </c>
      <c r="L537">
        <f>VLOOKUP(A537,[1]dataset_2!B:H,3,FALSE)</f>
        <v>0.46</v>
      </c>
      <c r="M537">
        <f>VLOOKUP(A537,[1]dataset_2!B:H,4,FALSE)</f>
        <v>0.1343</v>
      </c>
      <c r="N537">
        <f>VLOOKUP(A537,[1]dataset_2!B:H,5,FALSE)</f>
        <v>3</v>
      </c>
      <c r="O537">
        <f>VLOOKUP(A537,[1]dataset_2!B:H,6,FALSE)</f>
        <v>43</v>
      </c>
      <c r="P537">
        <f>VLOOKUP(A537,[1]dataset_2!B:H,7,FALSE)</f>
        <v>46</v>
      </c>
      <c r="Q537" t="str">
        <f t="shared" si="24"/>
        <v>Weekday</v>
      </c>
      <c r="R537" t="str">
        <f t="shared" si="25"/>
        <v>Morning</v>
      </c>
      <c r="S537" t="str">
        <f t="shared" si="26"/>
        <v>Low</v>
      </c>
    </row>
    <row r="538" spans="1:19">
      <c r="A538" s="14">
        <v>537</v>
      </c>
      <c r="B538" s="15">
        <v>40567</v>
      </c>
      <c r="C538" s="14">
        <v>1</v>
      </c>
      <c r="D538" s="14">
        <v>0</v>
      </c>
      <c r="E538" s="14">
        <v>1</v>
      </c>
      <c r="F538" s="14">
        <v>12</v>
      </c>
      <c r="G538" s="14" t="b">
        <v>0</v>
      </c>
      <c r="H538" s="14">
        <v>1</v>
      </c>
      <c r="I538" s="14">
        <v>2</v>
      </c>
      <c r="J538" s="14">
        <v>0.12</v>
      </c>
      <c r="K538">
        <f>VLOOKUP(A538,[1]dataset_2!B:H,2,FALSE)</f>
        <v>0.13639999999999999</v>
      </c>
      <c r="L538">
        <f>VLOOKUP(A538,[1]dataset_2!B:H,3,FALSE)</f>
        <v>0.42</v>
      </c>
      <c r="M538">
        <f>VLOOKUP(A538,[1]dataset_2!B:H,4,FALSE)</f>
        <v>0.19400000000000001</v>
      </c>
      <c r="N538">
        <f>VLOOKUP(A538,[1]dataset_2!B:H,5,FALSE)</f>
        <v>11</v>
      </c>
      <c r="O538">
        <f>VLOOKUP(A538,[1]dataset_2!B:H,6,FALSE)</f>
        <v>52</v>
      </c>
      <c r="P538">
        <f>VLOOKUP(A538,[1]dataset_2!B:H,7,FALSE)</f>
        <v>63</v>
      </c>
      <c r="Q538" t="str">
        <f t="shared" si="24"/>
        <v>Weekday</v>
      </c>
      <c r="R538" t="str">
        <f t="shared" si="25"/>
        <v>Afternoon</v>
      </c>
      <c r="S538" t="str">
        <f t="shared" si="26"/>
        <v>Low</v>
      </c>
    </row>
    <row r="539" spans="1:19">
      <c r="A539" s="14">
        <v>538</v>
      </c>
      <c r="B539" s="15">
        <v>40567</v>
      </c>
      <c r="C539" s="14">
        <v>1</v>
      </c>
      <c r="D539" s="14">
        <v>0</v>
      </c>
      <c r="E539" s="14">
        <v>1</v>
      </c>
      <c r="F539" s="14">
        <v>13</v>
      </c>
      <c r="G539" s="14" t="b">
        <v>0</v>
      </c>
      <c r="H539" s="14">
        <v>1</v>
      </c>
      <c r="I539" s="14">
        <v>2</v>
      </c>
      <c r="J539" s="14">
        <v>0.14000000000000001</v>
      </c>
      <c r="K539">
        <f>VLOOKUP(A539,[1]dataset_2!B:H,2,FALSE)</f>
        <v>0.13639999999999999</v>
      </c>
      <c r="L539">
        <f>VLOOKUP(A539,[1]dataset_2!B:H,3,FALSE)</f>
        <v>0.43</v>
      </c>
      <c r="M539">
        <f>VLOOKUP(A539,[1]dataset_2!B:H,4,FALSE)</f>
        <v>0.22389999999999999</v>
      </c>
      <c r="N539">
        <f>VLOOKUP(A539,[1]dataset_2!B:H,5,FALSE)</f>
        <v>6</v>
      </c>
      <c r="O539">
        <f>VLOOKUP(A539,[1]dataset_2!B:H,6,FALSE)</f>
        <v>54</v>
      </c>
      <c r="P539">
        <f>VLOOKUP(A539,[1]dataset_2!B:H,7,FALSE)</f>
        <v>60</v>
      </c>
      <c r="Q539" t="str">
        <f t="shared" si="24"/>
        <v>Weekday</v>
      </c>
      <c r="R539" t="str">
        <f t="shared" si="25"/>
        <v>Afternoon</v>
      </c>
      <c r="S539" t="str">
        <f t="shared" si="26"/>
        <v>Low</v>
      </c>
    </row>
    <row r="540" spans="1:19">
      <c r="A540" s="14">
        <v>539</v>
      </c>
      <c r="B540" s="15">
        <v>40567</v>
      </c>
      <c r="C540" s="14">
        <v>1</v>
      </c>
      <c r="D540" s="14">
        <v>0</v>
      </c>
      <c r="E540" s="14">
        <v>1</v>
      </c>
      <c r="F540" s="14">
        <v>14</v>
      </c>
      <c r="G540" s="14" t="b">
        <v>0</v>
      </c>
      <c r="H540" s="14">
        <v>1</v>
      </c>
      <c r="I540" s="14">
        <v>2</v>
      </c>
      <c r="J540" s="14">
        <v>0.14000000000000001</v>
      </c>
      <c r="K540">
        <f>VLOOKUP(A540,[1]dataset_2!B:H,2,FALSE)</f>
        <v>0.13639999999999999</v>
      </c>
      <c r="L540">
        <f>VLOOKUP(A540,[1]dataset_2!B:H,3,FALSE)</f>
        <v>0.46</v>
      </c>
      <c r="M540">
        <f>VLOOKUP(A540,[1]dataset_2!B:H,4,FALSE)</f>
        <v>0.22389999999999999</v>
      </c>
      <c r="N540">
        <f>VLOOKUP(A540,[1]dataset_2!B:H,5,FALSE)</f>
        <v>2</v>
      </c>
      <c r="O540">
        <f>VLOOKUP(A540,[1]dataset_2!B:H,6,FALSE)</f>
        <v>43</v>
      </c>
      <c r="P540">
        <f>VLOOKUP(A540,[1]dataset_2!B:H,7,FALSE)</f>
        <v>45</v>
      </c>
      <c r="Q540" t="str">
        <f t="shared" si="24"/>
        <v>Weekday</v>
      </c>
      <c r="R540" t="str">
        <f t="shared" si="25"/>
        <v>Afternoon</v>
      </c>
      <c r="S540" t="str">
        <f t="shared" si="26"/>
        <v>Low</v>
      </c>
    </row>
    <row r="541" spans="1:19">
      <c r="A541" s="14">
        <v>540</v>
      </c>
      <c r="B541" s="15">
        <v>40567</v>
      </c>
      <c r="C541" s="14">
        <v>1</v>
      </c>
      <c r="D541" s="14">
        <v>0</v>
      </c>
      <c r="E541" s="14">
        <v>1</v>
      </c>
      <c r="F541" s="14">
        <v>15</v>
      </c>
      <c r="G541" s="14" t="b">
        <v>0</v>
      </c>
      <c r="H541" s="14">
        <v>1</v>
      </c>
      <c r="I541" s="14">
        <v>1</v>
      </c>
      <c r="J541" s="14">
        <v>0.16</v>
      </c>
      <c r="K541">
        <f>VLOOKUP(A541,[1]dataset_2!B:H,2,FALSE)</f>
        <v>0.16669999999999999</v>
      </c>
      <c r="L541">
        <f>VLOOKUP(A541,[1]dataset_2!B:H,3,FALSE)</f>
        <v>0.4</v>
      </c>
      <c r="M541">
        <f>VLOOKUP(A541,[1]dataset_2!B:H,4,FALSE)</f>
        <v>0.16420000000000001</v>
      </c>
      <c r="N541">
        <f>VLOOKUP(A541,[1]dataset_2!B:H,5,FALSE)</f>
        <v>7</v>
      </c>
      <c r="O541">
        <f>VLOOKUP(A541,[1]dataset_2!B:H,6,FALSE)</f>
        <v>50</v>
      </c>
      <c r="P541">
        <f>VLOOKUP(A541,[1]dataset_2!B:H,7,FALSE)</f>
        <v>57</v>
      </c>
      <c r="Q541" t="str">
        <f t="shared" si="24"/>
        <v>Weekday</v>
      </c>
      <c r="R541" t="str">
        <f t="shared" si="25"/>
        <v>Afternoon</v>
      </c>
      <c r="S541" t="str">
        <f t="shared" si="26"/>
        <v>Low</v>
      </c>
    </row>
    <row r="542" spans="1:19">
      <c r="A542" s="14">
        <v>541</v>
      </c>
      <c r="B542" s="15">
        <v>40567</v>
      </c>
      <c r="C542" s="14">
        <v>1</v>
      </c>
      <c r="D542" s="14">
        <v>0</v>
      </c>
      <c r="E542" s="14">
        <v>1</v>
      </c>
      <c r="F542" s="14">
        <v>16</v>
      </c>
      <c r="G542" s="14" t="b">
        <v>0</v>
      </c>
      <c r="H542" s="14">
        <v>1</v>
      </c>
      <c r="I542" s="14">
        <v>1</v>
      </c>
      <c r="J542" s="14">
        <v>0.16</v>
      </c>
      <c r="K542">
        <f>VLOOKUP(A542,[1]dataset_2!B:H,2,FALSE)</f>
        <v>0.1515</v>
      </c>
      <c r="L542">
        <f>VLOOKUP(A542,[1]dataset_2!B:H,3,FALSE)</f>
        <v>0.47</v>
      </c>
      <c r="M542">
        <f>VLOOKUP(A542,[1]dataset_2!B:H,4,FALSE)</f>
        <v>0.25369999999999998</v>
      </c>
      <c r="N542">
        <f>VLOOKUP(A542,[1]dataset_2!B:H,5,FALSE)</f>
        <v>4</v>
      </c>
      <c r="O542">
        <f>VLOOKUP(A542,[1]dataset_2!B:H,6,FALSE)</f>
        <v>66</v>
      </c>
      <c r="P542">
        <f>VLOOKUP(A542,[1]dataset_2!B:H,7,FALSE)</f>
        <v>70</v>
      </c>
      <c r="Q542" t="str">
        <f t="shared" si="24"/>
        <v>Weekday</v>
      </c>
      <c r="R542" t="str">
        <f t="shared" si="25"/>
        <v>Afternoon</v>
      </c>
      <c r="S542" t="str">
        <f t="shared" si="26"/>
        <v>Low</v>
      </c>
    </row>
    <row r="543" spans="1:19">
      <c r="A543" s="14">
        <v>542</v>
      </c>
      <c r="B543" s="15">
        <v>40567</v>
      </c>
      <c r="C543" s="14">
        <v>1</v>
      </c>
      <c r="D543" s="14">
        <v>0</v>
      </c>
      <c r="E543" s="14">
        <v>1</v>
      </c>
      <c r="F543" s="14">
        <v>17</v>
      </c>
      <c r="G543" s="14" t="b">
        <v>0</v>
      </c>
      <c r="H543" s="14">
        <v>1</v>
      </c>
      <c r="I543" s="14">
        <v>1</v>
      </c>
      <c r="J543" s="14">
        <v>0.14000000000000001</v>
      </c>
      <c r="K543">
        <f>VLOOKUP(A543,[1]dataset_2!B:H,2,FALSE)</f>
        <v>0.1212</v>
      </c>
      <c r="L543">
        <f>VLOOKUP(A543,[1]dataset_2!B:H,3,FALSE)</f>
        <v>0.5</v>
      </c>
      <c r="M543">
        <f>VLOOKUP(A543,[1]dataset_2!B:H,4,FALSE)</f>
        <v>0.25369999999999998</v>
      </c>
      <c r="N543">
        <f>VLOOKUP(A543,[1]dataset_2!B:H,5,FALSE)</f>
        <v>6</v>
      </c>
      <c r="O543">
        <f>VLOOKUP(A543,[1]dataset_2!B:H,6,FALSE)</f>
        <v>178</v>
      </c>
      <c r="P543">
        <f>VLOOKUP(A543,[1]dataset_2!B:H,7,FALSE)</f>
        <v>184</v>
      </c>
      <c r="Q543" t="str">
        <f t="shared" si="24"/>
        <v>Weekday</v>
      </c>
      <c r="R543" t="str">
        <f t="shared" si="25"/>
        <v>Afternoon</v>
      </c>
      <c r="S543" t="str">
        <f t="shared" si="26"/>
        <v>High</v>
      </c>
    </row>
    <row r="544" spans="1:19">
      <c r="A544" s="14">
        <v>543</v>
      </c>
      <c r="B544" s="15">
        <v>40567</v>
      </c>
      <c r="C544" s="14">
        <v>1</v>
      </c>
      <c r="D544" s="14">
        <v>0</v>
      </c>
      <c r="E544" s="14">
        <v>1</v>
      </c>
      <c r="F544" s="14">
        <v>18</v>
      </c>
      <c r="G544" s="14" t="b">
        <v>0</v>
      </c>
      <c r="H544" s="14">
        <v>1</v>
      </c>
      <c r="I544" s="14">
        <v>1</v>
      </c>
      <c r="J544" s="14">
        <v>0.14000000000000001</v>
      </c>
      <c r="K544">
        <f>VLOOKUP(A544,[1]dataset_2!B:H,2,FALSE)</f>
        <v>0.13639999999999999</v>
      </c>
      <c r="L544">
        <f>VLOOKUP(A544,[1]dataset_2!B:H,3,FALSE)</f>
        <v>0.59</v>
      </c>
      <c r="M544">
        <f>VLOOKUP(A544,[1]dataset_2!B:H,4,FALSE)</f>
        <v>0.19400000000000001</v>
      </c>
      <c r="N544">
        <f>VLOOKUP(A544,[1]dataset_2!B:H,5,FALSE)</f>
        <v>8</v>
      </c>
      <c r="O544">
        <f>VLOOKUP(A544,[1]dataset_2!B:H,6,FALSE)</f>
        <v>145</v>
      </c>
      <c r="P544">
        <f>VLOOKUP(A544,[1]dataset_2!B:H,7,FALSE)</f>
        <v>153</v>
      </c>
      <c r="Q544" t="str">
        <f t="shared" si="24"/>
        <v>Weekday</v>
      </c>
      <c r="R544" t="str">
        <f t="shared" si="25"/>
        <v>Evening</v>
      </c>
      <c r="S544" t="str">
        <f t="shared" si="26"/>
        <v>High</v>
      </c>
    </row>
    <row r="545" spans="1:19">
      <c r="A545" s="14">
        <v>544</v>
      </c>
      <c r="B545" s="15">
        <v>40567</v>
      </c>
      <c r="C545" s="14">
        <v>1</v>
      </c>
      <c r="D545" s="14">
        <v>0</v>
      </c>
      <c r="E545" s="14">
        <v>1</v>
      </c>
      <c r="F545" s="14">
        <v>19</v>
      </c>
      <c r="G545" s="14" t="b">
        <v>0</v>
      </c>
      <c r="H545" s="14">
        <v>1</v>
      </c>
      <c r="I545" s="14">
        <v>1</v>
      </c>
      <c r="J545" s="14">
        <v>0.14000000000000001</v>
      </c>
      <c r="K545">
        <f>VLOOKUP(A545,[1]dataset_2!B:H,2,FALSE)</f>
        <v>0.1515</v>
      </c>
      <c r="L545">
        <f>VLOOKUP(A545,[1]dataset_2!B:H,3,FALSE)</f>
        <v>0.54</v>
      </c>
      <c r="M545">
        <f>VLOOKUP(A545,[1]dataset_2!B:H,4,FALSE)</f>
        <v>0.16420000000000001</v>
      </c>
      <c r="N545">
        <f>VLOOKUP(A545,[1]dataset_2!B:H,5,FALSE)</f>
        <v>5</v>
      </c>
      <c r="O545">
        <f>VLOOKUP(A545,[1]dataset_2!B:H,6,FALSE)</f>
        <v>101</v>
      </c>
      <c r="P545">
        <f>VLOOKUP(A545,[1]dataset_2!B:H,7,FALSE)</f>
        <v>106</v>
      </c>
      <c r="Q545" t="str">
        <f t="shared" si="24"/>
        <v>Weekday</v>
      </c>
      <c r="R545" t="str">
        <f t="shared" si="25"/>
        <v>Evening</v>
      </c>
      <c r="S545" t="str">
        <f t="shared" si="26"/>
        <v>High</v>
      </c>
    </row>
    <row r="546" spans="1:19">
      <c r="A546" s="14">
        <v>545</v>
      </c>
      <c r="B546" s="15">
        <v>40567</v>
      </c>
      <c r="C546" s="14">
        <v>1</v>
      </c>
      <c r="D546" s="14">
        <v>0</v>
      </c>
      <c r="E546" s="14">
        <v>1</v>
      </c>
      <c r="F546" s="14">
        <v>20</v>
      </c>
      <c r="G546" s="14" t="b">
        <v>0</v>
      </c>
      <c r="H546" s="14">
        <v>1</v>
      </c>
      <c r="I546" s="14">
        <v>1</v>
      </c>
      <c r="J546" s="14">
        <v>0.14000000000000001</v>
      </c>
      <c r="K546">
        <f>VLOOKUP(A546,[1]dataset_2!B:H,2,FALSE)</f>
        <v>0.13639999999999999</v>
      </c>
      <c r="L546">
        <f>VLOOKUP(A546,[1]dataset_2!B:H,3,FALSE)</f>
        <v>0.59</v>
      </c>
      <c r="M546">
        <f>VLOOKUP(A546,[1]dataset_2!B:H,4,FALSE)</f>
        <v>0.19400000000000001</v>
      </c>
      <c r="N546">
        <f>VLOOKUP(A546,[1]dataset_2!B:H,5,FALSE)</f>
        <v>1</v>
      </c>
      <c r="O546">
        <f>VLOOKUP(A546,[1]dataset_2!B:H,6,FALSE)</f>
        <v>80</v>
      </c>
      <c r="P546">
        <f>VLOOKUP(A546,[1]dataset_2!B:H,7,FALSE)</f>
        <v>81</v>
      </c>
      <c r="Q546" t="str">
        <f t="shared" si="24"/>
        <v>Weekday</v>
      </c>
      <c r="R546" t="str">
        <f t="shared" si="25"/>
        <v>Evening</v>
      </c>
      <c r="S546" t="str">
        <f t="shared" si="26"/>
        <v>Low</v>
      </c>
    </row>
    <row r="547" spans="1:19">
      <c r="A547" s="14">
        <v>546</v>
      </c>
      <c r="B547" s="15">
        <v>40567</v>
      </c>
      <c r="C547" s="14">
        <v>1</v>
      </c>
      <c r="D547" s="14">
        <v>0</v>
      </c>
      <c r="E547" s="14">
        <v>1</v>
      </c>
      <c r="F547" s="14">
        <v>21</v>
      </c>
      <c r="G547" s="14" t="b">
        <v>0</v>
      </c>
      <c r="H547" s="14">
        <v>1</v>
      </c>
      <c r="I547" s="14">
        <v>1</v>
      </c>
      <c r="J547" s="14">
        <v>0.14000000000000001</v>
      </c>
      <c r="K547">
        <f>VLOOKUP(A547,[1]dataset_2!B:H,2,FALSE)</f>
        <v>0.1515</v>
      </c>
      <c r="L547">
        <f>VLOOKUP(A547,[1]dataset_2!B:H,3,FALSE)</f>
        <v>0.63</v>
      </c>
      <c r="M547">
        <f>VLOOKUP(A547,[1]dataset_2!B:H,4,FALSE)</f>
        <v>0.16420000000000001</v>
      </c>
      <c r="N547">
        <f>VLOOKUP(A547,[1]dataset_2!B:H,5,FALSE)</f>
        <v>6</v>
      </c>
      <c r="O547">
        <f>VLOOKUP(A547,[1]dataset_2!B:H,6,FALSE)</f>
        <v>53</v>
      </c>
      <c r="P547">
        <f>VLOOKUP(A547,[1]dataset_2!B:H,7,FALSE)</f>
        <v>59</v>
      </c>
      <c r="Q547" t="str">
        <f t="shared" si="24"/>
        <v>Weekday</v>
      </c>
      <c r="R547" t="str">
        <f t="shared" si="25"/>
        <v>Evening</v>
      </c>
      <c r="S547" t="str">
        <f t="shared" si="26"/>
        <v>Low</v>
      </c>
    </row>
    <row r="548" spans="1:19">
      <c r="A548" s="14">
        <v>547</v>
      </c>
      <c r="B548" s="15">
        <v>40567</v>
      </c>
      <c r="C548" s="14">
        <v>1</v>
      </c>
      <c r="D548" s="14">
        <v>0</v>
      </c>
      <c r="E548" s="14">
        <v>1</v>
      </c>
      <c r="F548" s="14">
        <v>22</v>
      </c>
      <c r="G548" s="14" t="b">
        <v>0</v>
      </c>
      <c r="H548" s="14">
        <v>1</v>
      </c>
      <c r="I548" s="14">
        <v>2</v>
      </c>
      <c r="J548" s="14">
        <v>0.14000000000000001</v>
      </c>
      <c r="K548">
        <f>VLOOKUP(A548,[1]dataset_2!B:H,2,FALSE)</f>
        <v>0.13639999999999999</v>
      </c>
      <c r="L548">
        <f>VLOOKUP(A548,[1]dataset_2!B:H,3,FALSE)</f>
        <v>0.63</v>
      </c>
      <c r="M548">
        <f>VLOOKUP(A548,[1]dataset_2!B:H,4,FALSE)</f>
        <v>0.22389999999999999</v>
      </c>
      <c r="N548">
        <f>VLOOKUP(A548,[1]dataset_2!B:H,5,FALSE)</f>
        <v>3</v>
      </c>
      <c r="O548">
        <f>VLOOKUP(A548,[1]dataset_2!B:H,6,FALSE)</f>
        <v>32</v>
      </c>
      <c r="P548">
        <f>VLOOKUP(A548,[1]dataset_2!B:H,7,FALSE)</f>
        <v>35</v>
      </c>
      <c r="Q548" t="str">
        <f t="shared" si="24"/>
        <v>Weekday</v>
      </c>
      <c r="R548" t="str">
        <f t="shared" si="25"/>
        <v>Evening</v>
      </c>
      <c r="S548" t="str">
        <f t="shared" si="26"/>
        <v>Low</v>
      </c>
    </row>
    <row r="549" spans="1:19">
      <c r="A549" s="14">
        <v>548</v>
      </c>
      <c r="B549" s="15">
        <v>40567</v>
      </c>
      <c r="C549" s="14">
        <v>1</v>
      </c>
      <c r="D549" s="14">
        <v>0</v>
      </c>
      <c r="E549" s="14">
        <v>1</v>
      </c>
      <c r="F549" s="14">
        <v>23</v>
      </c>
      <c r="G549" s="14" t="b">
        <v>0</v>
      </c>
      <c r="H549" s="14">
        <v>1</v>
      </c>
      <c r="I549" s="14">
        <v>2</v>
      </c>
      <c r="J549" s="14">
        <v>0.16</v>
      </c>
      <c r="K549">
        <f>VLOOKUP(A549,[1]dataset_2!B:H,2,FALSE)</f>
        <v>0.1515</v>
      </c>
      <c r="L549">
        <f>VLOOKUP(A549,[1]dataset_2!B:H,3,FALSE)</f>
        <v>0.64</v>
      </c>
      <c r="M549">
        <f>VLOOKUP(A549,[1]dataset_2!B:H,4,FALSE)</f>
        <v>0.25369999999999998</v>
      </c>
      <c r="N549">
        <f>VLOOKUP(A549,[1]dataset_2!B:H,5,FALSE)</f>
        <v>3</v>
      </c>
      <c r="O549">
        <f>VLOOKUP(A549,[1]dataset_2!B:H,6,FALSE)</f>
        <v>21</v>
      </c>
      <c r="P549">
        <f>VLOOKUP(A549,[1]dataset_2!B:H,7,FALSE)</f>
        <v>24</v>
      </c>
      <c r="Q549" t="str">
        <f t="shared" si="24"/>
        <v>Weekday</v>
      </c>
      <c r="R549" t="str">
        <f t="shared" si="25"/>
        <v>Evening</v>
      </c>
      <c r="S549" t="str">
        <f t="shared" si="26"/>
        <v>Low</v>
      </c>
    </row>
    <row r="550" spans="1:19">
      <c r="A550" s="14">
        <v>549</v>
      </c>
      <c r="B550" s="15">
        <v>40568</v>
      </c>
      <c r="C550" s="14">
        <v>1</v>
      </c>
      <c r="D550" s="14">
        <v>0</v>
      </c>
      <c r="E550" s="14">
        <v>1</v>
      </c>
      <c r="F550" s="14">
        <v>0</v>
      </c>
      <c r="G550" s="14" t="b">
        <v>0</v>
      </c>
      <c r="H550" s="14">
        <v>2</v>
      </c>
      <c r="I550" s="14">
        <v>2</v>
      </c>
      <c r="J550" s="14">
        <v>0.16</v>
      </c>
      <c r="K550">
        <f>VLOOKUP(A550,[1]dataset_2!B:H,2,FALSE)</f>
        <v>0.13639999999999999</v>
      </c>
      <c r="L550">
        <f>VLOOKUP(A550,[1]dataset_2!B:H,3,FALSE)</f>
        <v>0.69</v>
      </c>
      <c r="M550">
        <f>VLOOKUP(A550,[1]dataset_2!B:H,4,FALSE)</f>
        <v>0.28360000000000002</v>
      </c>
      <c r="N550">
        <f>VLOOKUP(A550,[1]dataset_2!B:H,5,FALSE)</f>
        <v>3</v>
      </c>
      <c r="O550">
        <f>VLOOKUP(A550,[1]dataset_2!B:H,6,FALSE)</f>
        <v>6</v>
      </c>
      <c r="P550">
        <f>VLOOKUP(A550,[1]dataset_2!B:H,7,FALSE)</f>
        <v>9</v>
      </c>
      <c r="Q550" t="str">
        <f t="shared" si="24"/>
        <v>Weekday</v>
      </c>
      <c r="R550" t="str">
        <f t="shared" si="25"/>
        <v>Morning</v>
      </c>
      <c r="S550" t="str">
        <f t="shared" si="26"/>
        <v>Low</v>
      </c>
    </row>
    <row r="551" spans="1:19">
      <c r="A551" s="14">
        <v>550</v>
      </c>
      <c r="B551" s="15">
        <v>40568</v>
      </c>
      <c r="C551" s="14">
        <v>1</v>
      </c>
      <c r="D551" s="14">
        <v>0</v>
      </c>
      <c r="E551" s="14">
        <v>1</v>
      </c>
      <c r="F551" s="14">
        <v>1</v>
      </c>
      <c r="G551" s="14" t="b">
        <v>0</v>
      </c>
      <c r="H551" s="14">
        <v>2</v>
      </c>
      <c r="I551" s="14">
        <v>2</v>
      </c>
      <c r="J551" s="14">
        <v>0.16</v>
      </c>
      <c r="K551">
        <f>VLOOKUP(A551,[1]dataset_2!B:H,2,FALSE)</f>
        <v>0.16669999999999999</v>
      </c>
      <c r="L551">
        <f>VLOOKUP(A551,[1]dataset_2!B:H,3,FALSE)</f>
        <v>0.69</v>
      </c>
      <c r="M551">
        <f>VLOOKUP(A551,[1]dataset_2!B:H,4,FALSE)</f>
        <v>0.16420000000000001</v>
      </c>
      <c r="N551">
        <f>VLOOKUP(A551,[1]dataset_2!B:H,5,FALSE)</f>
        <v>0</v>
      </c>
      <c r="O551">
        <f>VLOOKUP(A551,[1]dataset_2!B:H,6,FALSE)</f>
        <v>5</v>
      </c>
      <c r="P551">
        <f>VLOOKUP(A551,[1]dataset_2!B:H,7,FALSE)</f>
        <v>5</v>
      </c>
      <c r="Q551" t="str">
        <f t="shared" si="24"/>
        <v>Weekday</v>
      </c>
      <c r="R551" t="str">
        <f t="shared" si="25"/>
        <v>Morning</v>
      </c>
      <c r="S551" t="str">
        <f t="shared" si="26"/>
        <v>Low</v>
      </c>
    </row>
    <row r="552" spans="1:19">
      <c r="A552" s="14">
        <v>551</v>
      </c>
      <c r="B552" s="15">
        <v>40568</v>
      </c>
      <c r="C552" s="14">
        <v>1</v>
      </c>
      <c r="D552" s="14">
        <v>0</v>
      </c>
      <c r="E552" s="14">
        <v>1</v>
      </c>
      <c r="F552" s="14">
        <v>2</v>
      </c>
      <c r="G552" s="14" t="b">
        <v>0</v>
      </c>
      <c r="H552" s="14">
        <v>2</v>
      </c>
      <c r="I552" s="14">
        <v>1</v>
      </c>
      <c r="J552" s="14">
        <v>0.16</v>
      </c>
      <c r="K552">
        <f>VLOOKUP(A552,[1]dataset_2!B:H,2,FALSE)</f>
        <v>0.1515</v>
      </c>
      <c r="L552">
        <f>VLOOKUP(A552,[1]dataset_2!B:H,3,FALSE)</f>
        <v>0.69</v>
      </c>
      <c r="M552">
        <f>VLOOKUP(A552,[1]dataset_2!B:H,4,FALSE)</f>
        <v>0.22389999999999999</v>
      </c>
      <c r="N552">
        <f>VLOOKUP(A552,[1]dataset_2!B:H,5,FALSE)</f>
        <v>0</v>
      </c>
      <c r="O552">
        <f>VLOOKUP(A552,[1]dataset_2!B:H,6,FALSE)</f>
        <v>2</v>
      </c>
      <c r="P552">
        <f>VLOOKUP(A552,[1]dataset_2!B:H,7,FALSE)</f>
        <v>2</v>
      </c>
      <c r="Q552" t="str">
        <f t="shared" si="24"/>
        <v>Weekday</v>
      </c>
      <c r="R552" t="str">
        <f t="shared" si="25"/>
        <v>Morning</v>
      </c>
      <c r="S552" t="str">
        <f t="shared" si="26"/>
        <v>Low</v>
      </c>
    </row>
    <row r="553" spans="1:19">
      <c r="A553" s="14">
        <v>552</v>
      </c>
      <c r="B553" s="15">
        <v>40568</v>
      </c>
      <c r="C553" s="14">
        <v>1</v>
      </c>
      <c r="D553" s="14">
        <v>0</v>
      </c>
      <c r="E553" s="14">
        <v>1</v>
      </c>
      <c r="F553" s="14">
        <v>4</v>
      </c>
      <c r="G553" s="14" t="b">
        <v>0</v>
      </c>
      <c r="H553" s="14">
        <v>2</v>
      </c>
      <c r="I553" s="14">
        <v>1</v>
      </c>
      <c r="J553" s="14">
        <v>0.14000000000000001</v>
      </c>
      <c r="K553">
        <f>VLOOKUP(A553,[1]dataset_2!B:H,2,FALSE)</f>
        <v>0.16669999999999999</v>
      </c>
      <c r="L553">
        <f>VLOOKUP(A553,[1]dataset_2!B:H,3,FALSE)</f>
        <v>0.74</v>
      </c>
      <c r="M553">
        <f>VLOOKUP(A553,[1]dataset_2!B:H,4,FALSE)</f>
        <v>0.1045</v>
      </c>
      <c r="N553">
        <f>VLOOKUP(A553,[1]dataset_2!B:H,5,FALSE)</f>
        <v>0</v>
      </c>
      <c r="O553">
        <f>VLOOKUP(A553,[1]dataset_2!B:H,6,FALSE)</f>
        <v>1</v>
      </c>
      <c r="P553">
        <f>VLOOKUP(A553,[1]dataset_2!B:H,7,FALSE)</f>
        <v>1</v>
      </c>
      <c r="Q553" t="str">
        <f t="shared" si="24"/>
        <v>Weekday</v>
      </c>
      <c r="R553" t="str">
        <f t="shared" si="25"/>
        <v>Morning</v>
      </c>
      <c r="S553" t="str">
        <f t="shared" si="26"/>
        <v>Low</v>
      </c>
    </row>
    <row r="554" spans="1:19">
      <c r="A554" s="14">
        <v>553</v>
      </c>
      <c r="B554" s="15">
        <v>40568</v>
      </c>
      <c r="C554" s="14">
        <v>1</v>
      </c>
      <c r="D554" s="14">
        <v>0</v>
      </c>
      <c r="E554" s="14">
        <v>1</v>
      </c>
      <c r="F554" s="14">
        <v>5</v>
      </c>
      <c r="G554" s="14" t="b">
        <v>0</v>
      </c>
      <c r="H554" s="14">
        <v>2</v>
      </c>
      <c r="I554" s="14">
        <v>1</v>
      </c>
      <c r="J554" s="14">
        <v>0.14000000000000001</v>
      </c>
      <c r="K554">
        <f>VLOOKUP(A554,[1]dataset_2!B:H,2,FALSE)</f>
        <v>0.13639999999999999</v>
      </c>
      <c r="L554">
        <f>VLOOKUP(A554,[1]dataset_2!B:H,3,FALSE)</f>
        <v>0.74</v>
      </c>
      <c r="M554">
        <f>VLOOKUP(A554,[1]dataset_2!B:H,4,FALSE)</f>
        <v>0.22389999999999999</v>
      </c>
      <c r="N554">
        <f>VLOOKUP(A554,[1]dataset_2!B:H,5,FALSE)</f>
        <v>0</v>
      </c>
      <c r="O554">
        <f>VLOOKUP(A554,[1]dataset_2!B:H,6,FALSE)</f>
        <v>9</v>
      </c>
      <c r="P554">
        <f>VLOOKUP(A554,[1]dataset_2!B:H,7,FALSE)</f>
        <v>9</v>
      </c>
      <c r="Q554" t="str">
        <f t="shared" si="24"/>
        <v>Weekday</v>
      </c>
      <c r="R554" t="str">
        <f t="shared" si="25"/>
        <v>Morning</v>
      </c>
      <c r="S554" t="str">
        <f t="shared" si="26"/>
        <v>Low</v>
      </c>
    </row>
    <row r="555" spans="1:19">
      <c r="A555" s="14">
        <v>554</v>
      </c>
      <c r="B555" s="15">
        <v>40568</v>
      </c>
      <c r="C555" s="14">
        <v>1</v>
      </c>
      <c r="D555" s="14">
        <v>0</v>
      </c>
      <c r="E555" s="14">
        <v>1</v>
      </c>
      <c r="F555" s="14">
        <v>6</v>
      </c>
      <c r="G555" s="14" t="b">
        <v>0</v>
      </c>
      <c r="H555" s="14">
        <v>2</v>
      </c>
      <c r="I555" s="14">
        <v>1</v>
      </c>
      <c r="J555" s="14">
        <v>0.16</v>
      </c>
      <c r="K555">
        <f>VLOOKUP(A555,[1]dataset_2!B:H,2,FALSE)</f>
        <v>0.18179999999999999</v>
      </c>
      <c r="L555">
        <f>VLOOKUP(A555,[1]dataset_2!B:H,3,FALSE)</f>
        <v>0.74</v>
      </c>
      <c r="M555">
        <f>VLOOKUP(A555,[1]dataset_2!B:H,4,FALSE)</f>
        <v>0.1045</v>
      </c>
      <c r="N555">
        <f>VLOOKUP(A555,[1]dataset_2!B:H,5,FALSE)</f>
        <v>1</v>
      </c>
      <c r="O555">
        <f>VLOOKUP(A555,[1]dataset_2!B:H,6,FALSE)</f>
        <v>35</v>
      </c>
      <c r="P555">
        <f>VLOOKUP(A555,[1]dataset_2!B:H,7,FALSE)</f>
        <v>36</v>
      </c>
      <c r="Q555" t="str">
        <f t="shared" si="24"/>
        <v>Weekday</v>
      </c>
      <c r="R555" t="str">
        <f t="shared" si="25"/>
        <v>Morning</v>
      </c>
      <c r="S555" t="str">
        <f t="shared" si="26"/>
        <v>Low</v>
      </c>
    </row>
    <row r="556" spans="1:19">
      <c r="A556" s="14">
        <v>555</v>
      </c>
      <c r="B556" s="15">
        <v>40568</v>
      </c>
      <c r="C556" s="14">
        <v>1</v>
      </c>
      <c r="D556" s="14">
        <v>0</v>
      </c>
      <c r="E556" s="14">
        <v>1</v>
      </c>
      <c r="F556" s="14">
        <v>7</v>
      </c>
      <c r="G556" s="14" t="b">
        <v>0</v>
      </c>
      <c r="H556" s="14">
        <v>2</v>
      </c>
      <c r="I556" s="14">
        <v>1</v>
      </c>
      <c r="J556" s="14">
        <v>0.16</v>
      </c>
      <c r="K556">
        <f>VLOOKUP(A556,[1]dataset_2!B:H,2,FALSE)</f>
        <v>0.1515</v>
      </c>
      <c r="L556">
        <f>VLOOKUP(A556,[1]dataset_2!B:H,3,FALSE)</f>
        <v>0.74</v>
      </c>
      <c r="M556">
        <f>VLOOKUP(A556,[1]dataset_2!B:H,4,FALSE)</f>
        <v>0.22389999999999999</v>
      </c>
      <c r="N556">
        <f>VLOOKUP(A556,[1]dataset_2!B:H,5,FALSE)</f>
        <v>5</v>
      </c>
      <c r="O556">
        <f>VLOOKUP(A556,[1]dataset_2!B:H,6,FALSE)</f>
        <v>103</v>
      </c>
      <c r="P556">
        <f>VLOOKUP(A556,[1]dataset_2!B:H,7,FALSE)</f>
        <v>108</v>
      </c>
      <c r="Q556" t="str">
        <f t="shared" si="24"/>
        <v>Weekday</v>
      </c>
      <c r="R556" t="str">
        <f t="shared" si="25"/>
        <v>Morning</v>
      </c>
      <c r="S556" t="str">
        <f t="shared" si="26"/>
        <v>High</v>
      </c>
    </row>
    <row r="557" spans="1:19">
      <c r="A557" s="14">
        <v>556</v>
      </c>
      <c r="B557" s="15">
        <v>40568</v>
      </c>
      <c r="C557" s="14">
        <v>1</v>
      </c>
      <c r="D557" s="14">
        <v>0</v>
      </c>
      <c r="E557" s="14">
        <v>1</v>
      </c>
      <c r="F557" s="14">
        <v>8</v>
      </c>
      <c r="G557" s="14" t="b">
        <v>0</v>
      </c>
      <c r="H557" s="14">
        <v>2</v>
      </c>
      <c r="I557" s="14">
        <v>2</v>
      </c>
      <c r="J557" s="14">
        <v>0.16</v>
      </c>
      <c r="K557">
        <f>VLOOKUP(A557,[1]dataset_2!B:H,2,FALSE)</f>
        <v>0.18179999999999999</v>
      </c>
      <c r="L557">
        <f>VLOOKUP(A557,[1]dataset_2!B:H,3,FALSE)</f>
        <v>0.74</v>
      </c>
      <c r="M557">
        <f>VLOOKUP(A557,[1]dataset_2!B:H,4,FALSE)</f>
        <v>0.1343</v>
      </c>
      <c r="N557">
        <f>VLOOKUP(A557,[1]dataset_2!B:H,5,FALSE)</f>
        <v>5</v>
      </c>
      <c r="O557">
        <f>VLOOKUP(A557,[1]dataset_2!B:H,6,FALSE)</f>
        <v>233</v>
      </c>
      <c r="P557">
        <f>VLOOKUP(A557,[1]dataset_2!B:H,7,FALSE)</f>
        <v>238</v>
      </c>
      <c r="Q557" t="str">
        <f t="shared" si="24"/>
        <v>Weekday</v>
      </c>
      <c r="R557" t="str">
        <f t="shared" si="25"/>
        <v>Morning</v>
      </c>
      <c r="S557" t="str">
        <f t="shared" si="26"/>
        <v>High</v>
      </c>
    </row>
    <row r="558" spans="1:19">
      <c r="A558" s="14">
        <v>557</v>
      </c>
      <c r="B558" s="15">
        <v>40568</v>
      </c>
      <c r="C558" s="14">
        <v>1</v>
      </c>
      <c r="D558" s="14">
        <v>0</v>
      </c>
      <c r="E558" s="14">
        <v>1</v>
      </c>
      <c r="F558" s="14">
        <v>9</v>
      </c>
      <c r="G558" s="14" t="b">
        <v>0</v>
      </c>
      <c r="H558" s="14">
        <v>2</v>
      </c>
      <c r="I558" s="14">
        <v>2</v>
      </c>
      <c r="J558" s="14">
        <v>0.2</v>
      </c>
      <c r="K558">
        <f>VLOOKUP(A558,[1]dataset_2!B:H,2,FALSE)</f>
        <v>0.2273</v>
      </c>
      <c r="L558">
        <f>VLOOKUP(A558,[1]dataset_2!B:H,3,FALSE)</f>
        <v>0.64</v>
      </c>
      <c r="M558">
        <f>VLOOKUP(A558,[1]dataset_2!B:H,4,FALSE)</f>
        <v>8.9599999999999999E-2</v>
      </c>
      <c r="N558">
        <f>VLOOKUP(A558,[1]dataset_2!B:H,5,FALSE)</f>
        <v>10</v>
      </c>
      <c r="O558">
        <f>VLOOKUP(A558,[1]dataset_2!B:H,6,FALSE)</f>
        <v>134</v>
      </c>
      <c r="P558">
        <f>VLOOKUP(A558,[1]dataset_2!B:H,7,FALSE)</f>
        <v>144</v>
      </c>
      <c r="Q558" t="str">
        <f t="shared" si="24"/>
        <v>Weekday</v>
      </c>
      <c r="R558" t="str">
        <f t="shared" si="25"/>
        <v>Morning</v>
      </c>
      <c r="S558" t="str">
        <f t="shared" si="26"/>
        <v>High</v>
      </c>
    </row>
    <row r="559" spans="1:19">
      <c r="A559" s="14">
        <v>558</v>
      </c>
      <c r="B559" s="15">
        <v>40568</v>
      </c>
      <c r="C559" s="14">
        <v>1</v>
      </c>
      <c r="D559" s="14">
        <v>0</v>
      </c>
      <c r="E559" s="14">
        <v>1</v>
      </c>
      <c r="F559" s="14">
        <v>10</v>
      </c>
      <c r="G559" s="14" t="b">
        <v>0</v>
      </c>
      <c r="H559" s="14">
        <v>2</v>
      </c>
      <c r="I559" s="14">
        <v>2</v>
      </c>
      <c r="J559" s="14">
        <v>0.22</v>
      </c>
      <c r="K559">
        <f>VLOOKUP(A559,[1]dataset_2!B:H,2,FALSE)</f>
        <v>0.2424</v>
      </c>
      <c r="L559">
        <f>VLOOKUP(A559,[1]dataset_2!B:H,3,FALSE)</f>
        <v>0.6</v>
      </c>
      <c r="M559">
        <f>VLOOKUP(A559,[1]dataset_2!B:H,4,FALSE)</f>
        <v>0.1045</v>
      </c>
      <c r="N559">
        <f>VLOOKUP(A559,[1]dataset_2!B:H,5,FALSE)</f>
        <v>6</v>
      </c>
      <c r="O559">
        <f>VLOOKUP(A559,[1]dataset_2!B:H,6,FALSE)</f>
        <v>49</v>
      </c>
      <c r="P559">
        <f>VLOOKUP(A559,[1]dataset_2!B:H,7,FALSE)</f>
        <v>55</v>
      </c>
      <c r="Q559" t="str">
        <f t="shared" si="24"/>
        <v>Weekday</v>
      </c>
      <c r="R559" t="str">
        <f t="shared" si="25"/>
        <v>Morning</v>
      </c>
      <c r="S559" t="str">
        <f t="shared" si="26"/>
        <v>Low</v>
      </c>
    </row>
    <row r="560" spans="1:19">
      <c r="A560" s="14">
        <v>559</v>
      </c>
      <c r="B560" s="15">
        <v>40568</v>
      </c>
      <c r="C560" s="14">
        <v>1</v>
      </c>
      <c r="D560" s="14">
        <v>0</v>
      </c>
      <c r="E560" s="14">
        <v>1</v>
      </c>
      <c r="F560" s="14">
        <v>11</v>
      </c>
      <c r="G560" s="14" t="b">
        <v>0</v>
      </c>
      <c r="H560" s="14">
        <v>2</v>
      </c>
      <c r="I560" s="14">
        <v>2</v>
      </c>
      <c r="J560" s="14">
        <v>0.24</v>
      </c>
      <c r="K560">
        <f>VLOOKUP(A560,[1]dataset_2!B:H,2,FALSE)</f>
        <v>0.2424</v>
      </c>
      <c r="L560">
        <f>VLOOKUP(A560,[1]dataset_2!B:H,3,FALSE)</f>
        <v>0.6</v>
      </c>
      <c r="M560">
        <f>VLOOKUP(A560,[1]dataset_2!B:H,4,FALSE)</f>
        <v>0.1343</v>
      </c>
      <c r="N560">
        <f>VLOOKUP(A560,[1]dataset_2!B:H,5,FALSE)</f>
        <v>6</v>
      </c>
      <c r="O560">
        <f>VLOOKUP(A560,[1]dataset_2!B:H,6,FALSE)</f>
        <v>55</v>
      </c>
      <c r="P560">
        <f>VLOOKUP(A560,[1]dataset_2!B:H,7,FALSE)</f>
        <v>61</v>
      </c>
      <c r="Q560" t="str">
        <f t="shared" si="24"/>
        <v>Weekday</v>
      </c>
      <c r="R560" t="str">
        <f t="shared" si="25"/>
        <v>Morning</v>
      </c>
      <c r="S560" t="str">
        <f t="shared" si="26"/>
        <v>Low</v>
      </c>
    </row>
    <row r="561" spans="1:19">
      <c r="A561" s="14">
        <v>560</v>
      </c>
      <c r="B561" s="15">
        <v>40568</v>
      </c>
      <c r="C561" s="14">
        <v>1</v>
      </c>
      <c r="D561" s="14">
        <v>0</v>
      </c>
      <c r="E561" s="14">
        <v>1</v>
      </c>
      <c r="F561" s="14">
        <v>12</v>
      </c>
      <c r="G561" s="14" t="b">
        <v>0</v>
      </c>
      <c r="H561" s="14">
        <v>2</v>
      </c>
      <c r="I561" s="14">
        <v>2</v>
      </c>
      <c r="J561" s="14">
        <v>0.26</v>
      </c>
      <c r="K561">
        <f>VLOOKUP(A561,[1]dataset_2!B:H,2,FALSE)</f>
        <v>0.28789999999999999</v>
      </c>
      <c r="L561">
        <f>VLOOKUP(A561,[1]dataset_2!B:H,3,FALSE)</f>
        <v>0.56000000000000005</v>
      </c>
      <c r="M561">
        <f>VLOOKUP(A561,[1]dataset_2!B:H,4,FALSE)</f>
        <v>8.9599999999999999E-2</v>
      </c>
      <c r="N561">
        <f>VLOOKUP(A561,[1]dataset_2!B:H,5,FALSE)</f>
        <v>21</v>
      </c>
      <c r="O561">
        <f>VLOOKUP(A561,[1]dataset_2!B:H,6,FALSE)</f>
        <v>85</v>
      </c>
      <c r="P561">
        <f>VLOOKUP(A561,[1]dataset_2!B:H,7,FALSE)</f>
        <v>106</v>
      </c>
      <c r="Q561" t="str">
        <f t="shared" si="24"/>
        <v>Weekday</v>
      </c>
      <c r="R561" t="str">
        <f t="shared" si="25"/>
        <v>Afternoon</v>
      </c>
      <c r="S561" t="str">
        <f t="shared" si="26"/>
        <v>High</v>
      </c>
    </row>
    <row r="562" spans="1:19">
      <c r="A562" s="14">
        <v>561</v>
      </c>
      <c r="B562" s="15">
        <v>40568</v>
      </c>
      <c r="C562" s="14">
        <v>1</v>
      </c>
      <c r="D562" s="14">
        <v>0</v>
      </c>
      <c r="E562" s="14">
        <v>1</v>
      </c>
      <c r="F562" s="14">
        <v>13</v>
      </c>
      <c r="G562" s="14" t="b">
        <v>0</v>
      </c>
      <c r="H562" s="14">
        <v>2</v>
      </c>
      <c r="I562" s="14">
        <v>2</v>
      </c>
      <c r="J562" s="14">
        <v>0.26</v>
      </c>
      <c r="K562">
        <f>VLOOKUP(A562,[1]dataset_2!B:H,2,FALSE)</f>
        <v>0.2727</v>
      </c>
      <c r="L562">
        <f>VLOOKUP(A562,[1]dataset_2!B:H,3,FALSE)</f>
        <v>0.56000000000000005</v>
      </c>
      <c r="M562">
        <f>VLOOKUP(A562,[1]dataset_2!B:H,4,FALSE)</f>
        <v>0.1343</v>
      </c>
      <c r="N562">
        <f>VLOOKUP(A562,[1]dataset_2!B:H,5,FALSE)</f>
        <v>21</v>
      </c>
      <c r="O562">
        <f>VLOOKUP(A562,[1]dataset_2!B:H,6,FALSE)</f>
        <v>72</v>
      </c>
      <c r="P562">
        <f>VLOOKUP(A562,[1]dataset_2!B:H,7,FALSE)</f>
        <v>93</v>
      </c>
      <c r="Q562" t="str">
        <f t="shared" si="24"/>
        <v>Weekday</v>
      </c>
      <c r="R562" t="str">
        <f t="shared" si="25"/>
        <v>Afternoon</v>
      </c>
      <c r="S562" t="str">
        <f t="shared" si="26"/>
        <v>Low</v>
      </c>
    </row>
    <row r="563" spans="1:19">
      <c r="A563" s="14">
        <v>562</v>
      </c>
      <c r="B563" s="15">
        <v>40568</v>
      </c>
      <c r="C563" s="14">
        <v>1</v>
      </c>
      <c r="D563" s="14">
        <v>0</v>
      </c>
      <c r="E563" s="14">
        <v>1</v>
      </c>
      <c r="F563" s="14">
        <v>14</v>
      </c>
      <c r="G563" s="14" t="b">
        <v>0</v>
      </c>
      <c r="H563" s="14">
        <v>2</v>
      </c>
      <c r="I563" s="14">
        <v>2</v>
      </c>
      <c r="J563" s="14">
        <v>0.3</v>
      </c>
      <c r="K563">
        <f>VLOOKUP(A563,[1]dataset_2!B:H,2,FALSE)</f>
        <v>0.33329999999999999</v>
      </c>
      <c r="L563">
        <f>VLOOKUP(A563,[1]dataset_2!B:H,3,FALSE)</f>
        <v>0.45</v>
      </c>
      <c r="M563">
        <f>VLOOKUP(A563,[1]dataset_2!B:H,4,FALSE)</f>
        <v>0</v>
      </c>
      <c r="N563">
        <f>VLOOKUP(A563,[1]dataset_2!B:H,5,FALSE)</f>
        <v>11</v>
      </c>
      <c r="O563">
        <f>VLOOKUP(A563,[1]dataset_2!B:H,6,FALSE)</f>
        <v>57</v>
      </c>
      <c r="P563">
        <f>VLOOKUP(A563,[1]dataset_2!B:H,7,FALSE)</f>
        <v>68</v>
      </c>
      <c r="Q563" t="str">
        <f t="shared" si="24"/>
        <v>Weekday</v>
      </c>
      <c r="R563" t="str">
        <f t="shared" si="25"/>
        <v>Afternoon</v>
      </c>
      <c r="S563" t="str">
        <f t="shared" si="26"/>
        <v>Low</v>
      </c>
    </row>
    <row r="564" spans="1:19">
      <c r="A564" s="14">
        <v>563</v>
      </c>
      <c r="B564" s="15">
        <v>40568</v>
      </c>
      <c r="C564" s="14">
        <v>1</v>
      </c>
      <c r="D564" s="14">
        <v>0</v>
      </c>
      <c r="E564" s="14">
        <v>1</v>
      </c>
      <c r="F564" s="14">
        <v>15</v>
      </c>
      <c r="G564" s="14" t="b">
        <v>0</v>
      </c>
      <c r="H564" s="14">
        <v>2</v>
      </c>
      <c r="I564" s="14">
        <v>2</v>
      </c>
      <c r="J564" s="14">
        <v>0.32</v>
      </c>
      <c r="K564">
        <f>VLOOKUP(A564,[1]dataset_2!B:H,2,FALSE)</f>
        <v>0.34849999999999998</v>
      </c>
      <c r="L564">
        <f>VLOOKUP(A564,[1]dataset_2!B:H,3,FALSE)</f>
        <v>0.42</v>
      </c>
      <c r="M564">
        <f>VLOOKUP(A564,[1]dataset_2!B:H,4,FALSE)</f>
        <v>0</v>
      </c>
      <c r="N564">
        <f>VLOOKUP(A564,[1]dataset_2!B:H,5,FALSE)</f>
        <v>21</v>
      </c>
      <c r="O564">
        <f>VLOOKUP(A564,[1]dataset_2!B:H,6,FALSE)</f>
        <v>63</v>
      </c>
      <c r="P564">
        <f>VLOOKUP(A564,[1]dataset_2!B:H,7,FALSE)</f>
        <v>84</v>
      </c>
      <c r="Q564" t="str">
        <f t="shared" si="24"/>
        <v>Weekday</v>
      </c>
      <c r="R564" t="str">
        <f t="shared" si="25"/>
        <v>Afternoon</v>
      </c>
      <c r="S564" t="str">
        <f t="shared" si="26"/>
        <v>Low</v>
      </c>
    </row>
    <row r="565" spans="1:19">
      <c r="A565" s="14">
        <v>564</v>
      </c>
      <c r="B565" s="15">
        <v>40568</v>
      </c>
      <c r="C565" s="14">
        <v>1</v>
      </c>
      <c r="D565" s="14">
        <v>0</v>
      </c>
      <c r="E565" s="14">
        <v>1</v>
      </c>
      <c r="F565" s="14">
        <v>16</v>
      </c>
      <c r="G565" s="14" t="b">
        <v>0</v>
      </c>
      <c r="H565" s="14">
        <v>2</v>
      </c>
      <c r="I565" s="14">
        <v>2</v>
      </c>
      <c r="J565" s="14">
        <v>0.32</v>
      </c>
      <c r="K565">
        <f>VLOOKUP(A565,[1]dataset_2!B:H,2,FALSE)</f>
        <v>0.34849999999999998</v>
      </c>
      <c r="L565">
        <f>VLOOKUP(A565,[1]dataset_2!B:H,3,FALSE)</f>
        <v>0.42</v>
      </c>
      <c r="M565">
        <f>VLOOKUP(A565,[1]dataset_2!B:H,4,FALSE)</f>
        <v>0</v>
      </c>
      <c r="N565">
        <f>VLOOKUP(A565,[1]dataset_2!B:H,5,FALSE)</f>
        <v>14</v>
      </c>
      <c r="O565">
        <f>VLOOKUP(A565,[1]dataset_2!B:H,6,FALSE)</f>
        <v>102</v>
      </c>
      <c r="P565">
        <f>VLOOKUP(A565,[1]dataset_2!B:H,7,FALSE)</f>
        <v>116</v>
      </c>
      <c r="Q565" t="str">
        <f t="shared" si="24"/>
        <v>Weekday</v>
      </c>
      <c r="R565" t="str">
        <f t="shared" si="25"/>
        <v>Afternoon</v>
      </c>
      <c r="S565" t="str">
        <f t="shared" si="26"/>
        <v>High</v>
      </c>
    </row>
    <row r="566" spans="1:19">
      <c r="A566" s="14">
        <v>565</v>
      </c>
      <c r="B566" s="15">
        <v>40568</v>
      </c>
      <c r="C566" s="14">
        <v>1</v>
      </c>
      <c r="D566" s="14">
        <v>0</v>
      </c>
      <c r="E566" s="14">
        <v>1</v>
      </c>
      <c r="F566" s="14">
        <v>17</v>
      </c>
      <c r="G566" s="14" t="b">
        <v>0</v>
      </c>
      <c r="H566" s="14">
        <v>2</v>
      </c>
      <c r="I566" s="14">
        <v>1</v>
      </c>
      <c r="J566" s="14">
        <v>0.3</v>
      </c>
      <c r="K566">
        <f>VLOOKUP(A566,[1]dataset_2!B:H,2,FALSE)</f>
        <v>0.33329999999999999</v>
      </c>
      <c r="L566">
        <f>VLOOKUP(A566,[1]dataset_2!B:H,3,FALSE)</f>
        <v>0.45</v>
      </c>
      <c r="M566">
        <f>VLOOKUP(A566,[1]dataset_2!B:H,4,FALSE)</f>
        <v>0</v>
      </c>
      <c r="N566">
        <f>VLOOKUP(A566,[1]dataset_2!B:H,5,FALSE)</f>
        <v>14</v>
      </c>
      <c r="O566">
        <f>VLOOKUP(A566,[1]dataset_2!B:H,6,FALSE)</f>
        <v>208</v>
      </c>
      <c r="P566">
        <f>VLOOKUP(A566,[1]dataset_2!B:H,7,FALSE)</f>
        <v>222</v>
      </c>
      <c r="Q566" t="str">
        <f t="shared" si="24"/>
        <v>Weekday</v>
      </c>
      <c r="R566" t="str">
        <f t="shared" si="25"/>
        <v>Afternoon</v>
      </c>
      <c r="S566" t="str">
        <f t="shared" si="26"/>
        <v>High</v>
      </c>
    </row>
    <row r="567" spans="1:19">
      <c r="A567" s="14">
        <v>566</v>
      </c>
      <c r="B567" s="15">
        <v>40568</v>
      </c>
      <c r="C567" s="14">
        <v>1</v>
      </c>
      <c r="D567" s="14">
        <v>0</v>
      </c>
      <c r="E567" s="14">
        <v>1</v>
      </c>
      <c r="F567" s="14">
        <v>18</v>
      </c>
      <c r="G567" s="14" t="b">
        <v>0</v>
      </c>
      <c r="H567" s="14">
        <v>2</v>
      </c>
      <c r="I567" s="14">
        <v>2</v>
      </c>
      <c r="J567" s="14">
        <v>0.3</v>
      </c>
      <c r="K567">
        <f>VLOOKUP(A567,[1]dataset_2!B:H,2,FALSE)</f>
        <v>0.31819999999999998</v>
      </c>
      <c r="L567">
        <f>VLOOKUP(A567,[1]dataset_2!B:H,3,FALSE)</f>
        <v>0.49</v>
      </c>
      <c r="M567">
        <f>VLOOKUP(A567,[1]dataset_2!B:H,4,FALSE)</f>
        <v>8.9599999999999999E-2</v>
      </c>
      <c r="N567">
        <f>VLOOKUP(A567,[1]dataset_2!B:H,5,FALSE)</f>
        <v>7</v>
      </c>
      <c r="O567">
        <f>VLOOKUP(A567,[1]dataset_2!B:H,6,FALSE)</f>
        <v>218</v>
      </c>
      <c r="P567">
        <f>VLOOKUP(A567,[1]dataset_2!B:H,7,FALSE)</f>
        <v>225</v>
      </c>
      <c r="Q567" t="str">
        <f t="shared" si="24"/>
        <v>Weekday</v>
      </c>
      <c r="R567" t="str">
        <f t="shared" si="25"/>
        <v>Evening</v>
      </c>
      <c r="S567" t="str">
        <f t="shared" si="26"/>
        <v>High</v>
      </c>
    </row>
    <row r="568" spans="1:19">
      <c r="A568" s="14">
        <v>567</v>
      </c>
      <c r="B568" s="15">
        <v>40568</v>
      </c>
      <c r="C568" s="14">
        <v>1</v>
      </c>
      <c r="D568" s="14">
        <v>0</v>
      </c>
      <c r="E568" s="14">
        <v>1</v>
      </c>
      <c r="F568" s="14">
        <v>19</v>
      </c>
      <c r="G568" s="14" t="b">
        <v>0</v>
      </c>
      <c r="H568" s="14">
        <v>2</v>
      </c>
      <c r="I568" s="14">
        <v>2</v>
      </c>
      <c r="J568" s="14">
        <v>0.26</v>
      </c>
      <c r="K568">
        <f>VLOOKUP(A568,[1]dataset_2!B:H,2,FALSE)</f>
        <v>0.2576</v>
      </c>
      <c r="L568">
        <f>VLOOKUP(A568,[1]dataset_2!B:H,3,FALSE)</f>
        <v>0.65</v>
      </c>
      <c r="M568">
        <f>VLOOKUP(A568,[1]dataset_2!B:H,4,FALSE)</f>
        <v>0.16420000000000001</v>
      </c>
      <c r="N568">
        <f>VLOOKUP(A568,[1]dataset_2!B:H,5,FALSE)</f>
        <v>13</v>
      </c>
      <c r="O568">
        <f>VLOOKUP(A568,[1]dataset_2!B:H,6,FALSE)</f>
        <v>133</v>
      </c>
      <c r="P568">
        <f>VLOOKUP(A568,[1]dataset_2!B:H,7,FALSE)</f>
        <v>146</v>
      </c>
      <c r="Q568" t="str">
        <f t="shared" si="24"/>
        <v>Weekday</v>
      </c>
      <c r="R568" t="str">
        <f t="shared" si="25"/>
        <v>Evening</v>
      </c>
      <c r="S568" t="str">
        <f t="shared" si="26"/>
        <v>High</v>
      </c>
    </row>
    <row r="569" spans="1:19">
      <c r="A569" s="14">
        <v>568</v>
      </c>
      <c r="B569" s="15">
        <v>40568</v>
      </c>
      <c r="C569" s="14">
        <v>1</v>
      </c>
      <c r="D569" s="14">
        <v>0</v>
      </c>
      <c r="E569" s="14">
        <v>1</v>
      </c>
      <c r="F569" s="14">
        <v>20</v>
      </c>
      <c r="G569" s="14" t="b">
        <v>0</v>
      </c>
      <c r="H569" s="14">
        <v>2</v>
      </c>
      <c r="I569" s="14">
        <v>1</v>
      </c>
      <c r="J569" s="14">
        <v>0.24</v>
      </c>
      <c r="K569">
        <f>VLOOKUP(A569,[1]dataset_2!B:H,2,FALSE)</f>
        <v>0.2273</v>
      </c>
      <c r="L569">
        <f>VLOOKUP(A569,[1]dataset_2!B:H,3,FALSE)</f>
        <v>0.65</v>
      </c>
      <c r="M569">
        <f>VLOOKUP(A569,[1]dataset_2!B:H,4,FALSE)</f>
        <v>0.19400000000000001</v>
      </c>
      <c r="N569">
        <f>VLOOKUP(A569,[1]dataset_2!B:H,5,FALSE)</f>
        <v>16</v>
      </c>
      <c r="O569">
        <f>VLOOKUP(A569,[1]dataset_2!B:H,6,FALSE)</f>
        <v>103</v>
      </c>
      <c r="P569">
        <f>VLOOKUP(A569,[1]dataset_2!B:H,7,FALSE)</f>
        <v>119</v>
      </c>
      <c r="Q569" t="str">
        <f t="shared" si="24"/>
        <v>Weekday</v>
      </c>
      <c r="R569" t="str">
        <f t="shared" si="25"/>
        <v>Evening</v>
      </c>
      <c r="S569" t="str">
        <f t="shared" si="26"/>
        <v>High</v>
      </c>
    </row>
    <row r="570" spans="1:19">
      <c r="A570" s="14">
        <v>569</v>
      </c>
      <c r="B570" s="15">
        <v>40568</v>
      </c>
      <c r="C570" s="14">
        <v>1</v>
      </c>
      <c r="D570" s="14">
        <v>0</v>
      </c>
      <c r="E570" s="14">
        <v>1</v>
      </c>
      <c r="F570" s="14">
        <v>21</v>
      </c>
      <c r="G570" s="14" t="b">
        <v>0</v>
      </c>
      <c r="H570" s="14">
        <v>2</v>
      </c>
      <c r="I570" s="14">
        <v>1</v>
      </c>
      <c r="J570" s="14">
        <v>0.24</v>
      </c>
      <c r="K570">
        <f>VLOOKUP(A570,[1]dataset_2!B:H,2,FALSE)</f>
        <v>0.2273</v>
      </c>
      <c r="L570">
        <f>VLOOKUP(A570,[1]dataset_2!B:H,3,FALSE)</f>
        <v>0.65</v>
      </c>
      <c r="M570">
        <f>VLOOKUP(A570,[1]dataset_2!B:H,4,FALSE)</f>
        <v>0.19400000000000001</v>
      </c>
      <c r="N570">
        <f>VLOOKUP(A570,[1]dataset_2!B:H,5,FALSE)</f>
        <v>5</v>
      </c>
      <c r="O570">
        <f>VLOOKUP(A570,[1]dataset_2!B:H,6,FALSE)</f>
        <v>40</v>
      </c>
      <c r="P570">
        <f>VLOOKUP(A570,[1]dataset_2!B:H,7,FALSE)</f>
        <v>45</v>
      </c>
      <c r="Q570" t="str">
        <f t="shared" si="24"/>
        <v>Weekday</v>
      </c>
      <c r="R570" t="str">
        <f t="shared" si="25"/>
        <v>Evening</v>
      </c>
      <c r="S570" t="str">
        <f t="shared" si="26"/>
        <v>Low</v>
      </c>
    </row>
    <row r="571" spans="1:19">
      <c r="A571" s="14">
        <v>570</v>
      </c>
      <c r="B571" s="15">
        <v>40568</v>
      </c>
      <c r="C571" s="14">
        <v>1</v>
      </c>
      <c r="D571" s="14">
        <v>0</v>
      </c>
      <c r="E571" s="14">
        <v>1</v>
      </c>
      <c r="F571" s="14">
        <v>22</v>
      </c>
      <c r="G571" s="14" t="b">
        <v>0</v>
      </c>
      <c r="H571" s="14">
        <v>2</v>
      </c>
      <c r="I571" s="14">
        <v>1</v>
      </c>
      <c r="J571" s="14">
        <v>0.22</v>
      </c>
      <c r="K571">
        <f>VLOOKUP(A571,[1]dataset_2!B:H,2,FALSE)</f>
        <v>0.2273</v>
      </c>
      <c r="L571">
        <f>VLOOKUP(A571,[1]dataset_2!B:H,3,FALSE)</f>
        <v>0.64</v>
      </c>
      <c r="M571">
        <f>VLOOKUP(A571,[1]dataset_2!B:H,4,FALSE)</f>
        <v>0.16420000000000001</v>
      </c>
      <c r="N571">
        <f>VLOOKUP(A571,[1]dataset_2!B:H,5,FALSE)</f>
        <v>4</v>
      </c>
      <c r="O571">
        <f>VLOOKUP(A571,[1]dataset_2!B:H,6,FALSE)</f>
        <v>49</v>
      </c>
      <c r="P571">
        <f>VLOOKUP(A571,[1]dataset_2!B:H,7,FALSE)</f>
        <v>53</v>
      </c>
      <c r="Q571" t="str">
        <f t="shared" si="24"/>
        <v>Weekday</v>
      </c>
      <c r="R571" t="str">
        <f t="shared" si="25"/>
        <v>Evening</v>
      </c>
      <c r="S571" t="str">
        <f t="shared" si="26"/>
        <v>Low</v>
      </c>
    </row>
    <row r="572" spans="1:19">
      <c r="A572" s="14">
        <v>571</v>
      </c>
      <c r="B572" s="15">
        <v>40568</v>
      </c>
      <c r="C572" s="14">
        <v>1</v>
      </c>
      <c r="D572" s="14">
        <v>0</v>
      </c>
      <c r="E572" s="14">
        <v>1</v>
      </c>
      <c r="F572" s="14">
        <v>23</v>
      </c>
      <c r="G572" s="14" t="b">
        <v>0</v>
      </c>
      <c r="H572" s="14">
        <v>2</v>
      </c>
      <c r="I572" s="14">
        <v>2</v>
      </c>
      <c r="J572" s="14">
        <v>0.22</v>
      </c>
      <c r="K572">
        <f>VLOOKUP(A572,[1]dataset_2!B:H,2,FALSE)</f>
        <v>0.2273</v>
      </c>
      <c r="L572">
        <f>VLOOKUP(A572,[1]dataset_2!B:H,3,FALSE)</f>
        <v>0.64</v>
      </c>
      <c r="M572">
        <f>VLOOKUP(A572,[1]dataset_2!B:H,4,FALSE)</f>
        <v>0.16420000000000001</v>
      </c>
      <c r="N572">
        <f>VLOOKUP(A572,[1]dataset_2!B:H,5,FALSE)</f>
        <v>3</v>
      </c>
      <c r="O572">
        <f>VLOOKUP(A572,[1]dataset_2!B:H,6,FALSE)</f>
        <v>37</v>
      </c>
      <c r="P572">
        <f>VLOOKUP(A572,[1]dataset_2!B:H,7,FALSE)</f>
        <v>40</v>
      </c>
      <c r="Q572" t="str">
        <f t="shared" si="24"/>
        <v>Weekday</v>
      </c>
      <c r="R572" t="str">
        <f t="shared" si="25"/>
        <v>Evening</v>
      </c>
      <c r="S572" t="str">
        <f t="shared" si="26"/>
        <v>Low</v>
      </c>
    </row>
    <row r="573" spans="1:19">
      <c r="A573" s="14">
        <v>572</v>
      </c>
      <c r="B573" s="15">
        <v>40569</v>
      </c>
      <c r="C573" s="14">
        <v>1</v>
      </c>
      <c r="D573" s="14">
        <v>0</v>
      </c>
      <c r="E573" s="14">
        <v>1</v>
      </c>
      <c r="F573" s="14">
        <v>0</v>
      </c>
      <c r="G573" s="14" t="b">
        <v>0</v>
      </c>
      <c r="H573" s="14">
        <v>3</v>
      </c>
      <c r="I573" s="14">
        <v>2</v>
      </c>
      <c r="J573" s="14">
        <v>0.22</v>
      </c>
      <c r="K573">
        <f>VLOOKUP(A573,[1]dataset_2!B:H,2,FALSE)</f>
        <v>0.2273</v>
      </c>
      <c r="L573">
        <f>VLOOKUP(A573,[1]dataset_2!B:H,3,FALSE)</f>
        <v>0.69</v>
      </c>
      <c r="M573">
        <f>VLOOKUP(A573,[1]dataset_2!B:H,4,FALSE)</f>
        <v>0.1343</v>
      </c>
      <c r="N573">
        <f>VLOOKUP(A573,[1]dataset_2!B:H,5,FALSE)</f>
        <v>3</v>
      </c>
      <c r="O573">
        <f>VLOOKUP(A573,[1]dataset_2!B:H,6,FALSE)</f>
        <v>14</v>
      </c>
      <c r="P573">
        <f>VLOOKUP(A573,[1]dataset_2!B:H,7,FALSE)</f>
        <v>17</v>
      </c>
      <c r="Q573" t="str">
        <f t="shared" si="24"/>
        <v>Weekday</v>
      </c>
      <c r="R573" t="str">
        <f t="shared" si="25"/>
        <v>Morning</v>
      </c>
      <c r="S573" t="str">
        <f t="shared" si="26"/>
        <v>Low</v>
      </c>
    </row>
    <row r="574" spans="1:19">
      <c r="A574" s="14">
        <v>573</v>
      </c>
      <c r="B574" s="15">
        <v>40569</v>
      </c>
      <c r="C574" s="14">
        <v>1</v>
      </c>
      <c r="D574" s="14">
        <v>0</v>
      </c>
      <c r="E574" s="14">
        <v>1</v>
      </c>
      <c r="F574" s="14">
        <v>1</v>
      </c>
      <c r="G574" s="14" t="b">
        <v>0</v>
      </c>
      <c r="H574" s="14">
        <v>3</v>
      </c>
      <c r="I574" s="14">
        <v>2</v>
      </c>
      <c r="J574" s="14">
        <v>0.24</v>
      </c>
      <c r="K574">
        <f>VLOOKUP(A574,[1]dataset_2!B:H,2,FALSE)</f>
        <v>0.2424</v>
      </c>
      <c r="L574">
        <f>VLOOKUP(A574,[1]dataset_2!B:H,3,FALSE)</f>
        <v>0.65</v>
      </c>
      <c r="M574">
        <f>VLOOKUP(A574,[1]dataset_2!B:H,4,FALSE)</f>
        <v>0.1343</v>
      </c>
      <c r="N574">
        <f>VLOOKUP(A574,[1]dataset_2!B:H,5,FALSE)</f>
        <v>0</v>
      </c>
      <c r="O574">
        <f>VLOOKUP(A574,[1]dataset_2!B:H,6,FALSE)</f>
        <v>5</v>
      </c>
      <c r="P574">
        <f>VLOOKUP(A574,[1]dataset_2!B:H,7,FALSE)</f>
        <v>5</v>
      </c>
      <c r="Q574" t="str">
        <f t="shared" si="24"/>
        <v>Weekday</v>
      </c>
      <c r="R574" t="str">
        <f t="shared" si="25"/>
        <v>Morning</v>
      </c>
      <c r="S574" t="str">
        <f t="shared" si="26"/>
        <v>Low</v>
      </c>
    </row>
    <row r="575" spans="1:19">
      <c r="A575" s="14">
        <v>574</v>
      </c>
      <c r="B575" s="15">
        <v>40569</v>
      </c>
      <c r="C575" s="14">
        <v>1</v>
      </c>
      <c r="D575" s="14">
        <v>0</v>
      </c>
      <c r="E575" s="14">
        <v>1</v>
      </c>
      <c r="F575" s="14">
        <v>2</v>
      </c>
      <c r="G575" s="14" t="b">
        <v>0</v>
      </c>
      <c r="H575" s="14">
        <v>3</v>
      </c>
      <c r="I575" s="14">
        <v>3</v>
      </c>
      <c r="J575" s="14">
        <v>0.22</v>
      </c>
      <c r="K575">
        <f>VLOOKUP(A575,[1]dataset_2!B:H,2,FALSE)</f>
        <v>0.2273</v>
      </c>
      <c r="L575">
        <f>VLOOKUP(A575,[1]dataset_2!B:H,3,FALSE)</f>
        <v>0.69</v>
      </c>
      <c r="M575">
        <f>VLOOKUP(A575,[1]dataset_2!B:H,4,FALSE)</f>
        <v>0.19400000000000001</v>
      </c>
      <c r="N575">
        <f>VLOOKUP(A575,[1]dataset_2!B:H,5,FALSE)</f>
        <v>3</v>
      </c>
      <c r="O575">
        <f>VLOOKUP(A575,[1]dataset_2!B:H,6,FALSE)</f>
        <v>7</v>
      </c>
      <c r="P575">
        <f>VLOOKUP(A575,[1]dataset_2!B:H,7,FALSE)</f>
        <v>10</v>
      </c>
      <c r="Q575" t="str">
        <f t="shared" si="24"/>
        <v>Weekday</v>
      </c>
      <c r="R575" t="str">
        <f t="shared" si="25"/>
        <v>Morning</v>
      </c>
      <c r="S575" t="str">
        <f t="shared" si="26"/>
        <v>Low</v>
      </c>
    </row>
    <row r="576" spans="1:19">
      <c r="A576" s="14">
        <v>575</v>
      </c>
      <c r="B576" s="15">
        <v>40569</v>
      </c>
      <c r="C576" s="14">
        <v>1</v>
      </c>
      <c r="D576" s="14">
        <v>0</v>
      </c>
      <c r="E576" s="14">
        <v>1</v>
      </c>
      <c r="F576" s="14">
        <v>5</v>
      </c>
      <c r="G576" s="14" t="b">
        <v>0</v>
      </c>
      <c r="H576" s="14">
        <v>3</v>
      </c>
      <c r="I576" s="14">
        <v>3</v>
      </c>
      <c r="J576" s="14">
        <v>0.2</v>
      </c>
      <c r="K576">
        <f>VLOOKUP(A576,[1]dataset_2!B:H,2,FALSE)</f>
        <v>0.18179999999999999</v>
      </c>
      <c r="L576">
        <f>VLOOKUP(A576,[1]dataset_2!B:H,3,FALSE)</f>
        <v>0.86</v>
      </c>
      <c r="M576">
        <f>VLOOKUP(A576,[1]dataset_2!B:H,4,FALSE)</f>
        <v>0.28360000000000002</v>
      </c>
      <c r="N576">
        <f>VLOOKUP(A576,[1]dataset_2!B:H,5,FALSE)</f>
        <v>0</v>
      </c>
      <c r="O576">
        <f>VLOOKUP(A576,[1]dataset_2!B:H,6,FALSE)</f>
        <v>1</v>
      </c>
      <c r="P576">
        <f>VLOOKUP(A576,[1]dataset_2!B:H,7,FALSE)</f>
        <v>1</v>
      </c>
      <c r="Q576" t="str">
        <f t="shared" si="24"/>
        <v>Weekday</v>
      </c>
      <c r="R576" t="str">
        <f t="shared" si="25"/>
        <v>Morning</v>
      </c>
      <c r="S576" t="str">
        <f t="shared" si="26"/>
        <v>Low</v>
      </c>
    </row>
    <row r="577" spans="1:19">
      <c r="A577" s="14">
        <v>576</v>
      </c>
      <c r="B577" s="15">
        <v>40569</v>
      </c>
      <c r="C577" s="14">
        <v>1</v>
      </c>
      <c r="D577" s="14">
        <v>0</v>
      </c>
      <c r="E577" s="14">
        <v>1</v>
      </c>
      <c r="F577" s="14">
        <v>6</v>
      </c>
      <c r="G577" s="14" t="b">
        <v>0</v>
      </c>
      <c r="H577" s="14">
        <v>3</v>
      </c>
      <c r="I577" s="14">
        <v>3</v>
      </c>
      <c r="J577" s="14">
        <v>0.2</v>
      </c>
      <c r="K577">
        <f>VLOOKUP(A577,[1]dataset_2!B:H,2,FALSE)</f>
        <v>0.18179999999999999</v>
      </c>
      <c r="L577">
        <f>VLOOKUP(A577,[1]dataset_2!B:H,3,FALSE)</f>
        <v>0.86</v>
      </c>
      <c r="M577">
        <f>VLOOKUP(A577,[1]dataset_2!B:H,4,FALSE)</f>
        <v>0.28360000000000002</v>
      </c>
      <c r="N577">
        <f>VLOOKUP(A577,[1]dataset_2!B:H,5,FALSE)</f>
        <v>0</v>
      </c>
      <c r="O577">
        <f>VLOOKUP(A577,[1]dataset_2!B:H,6,FALSE)</f>
        <v>8</v>
      </c>
      <c r="P577">
        <f>VLOOKUP(A577,[1]dataset_2!B:H,7,FALSE)</f>
        <v>8</v>
      </c>
      <c r="Q577" t="str">
        <f t="shared" si="24"/>
        <v>Weekday</v>
      </c>
      <c r="R577" t="str">
        <f t="shared" si="25"/>
        <v>Morning</v>
      </c>
      <c r="S577" t="str">
        <f t="shared" si="26"/>
        <v>Low</v>
      </c>
    </row>
    <row r="578" spans="1:19">
      <c r="A578" s="14">
        <v>577</v>
      </c>
      <c r="B578" s="15">
        <v>40569</v>
      </c>
      <c r="C578" s="14">
        <v>1</v>
      </c>
      <c r="D578" s="14">
        <v>0</v>
      </c>
      <c r="E578" s="14">
        <v>1</v>
      </c>
      <c r="F578" s="14">
        <v>7</v>
      </c>
      <c r="G578" s="14" t="b">
        <v>0</v>
      </c>
      <c r="H578" s="14">
        <v>3</v>
      </c>
      <c r="I578" s="14">
        <v>3</v>
      </c>
      <c r="J578" s="14">
        <v>0.22</v>
      </c>
      <c r="K578">
        <f>VLOOKUP(A578,[1]dataset_2!B:H,2,FALSE)</f>
        <v>0.21210000000000001</v>
      </c>
      <c r="L578">
        <f>VLOOKUP(A578,[1]dataset_2!B:H,3,FALSE)</f>
        <v>0.87</v>
      </c>
      <c r="M578">
        <f>VLOOKUP(A578,[1]dataset_2!B:H,4,FALSE)</f>
        <v>0.29849999999999999</v>
      </c>
      <c r="N578">
        <f>VLOOKUP(A578,[1]dataset_2!B:H,5,FALSE)</f>
        <v>1</v>
      </c>
      <c r="O578">
        <f>VLOOKUP(A578,[1]dataset_2!B:H,6,FALSE)</f>
        <v>29</v>
      </c>
      <c r="P578">
        <f>VLOOKUP(A578,[1]dataset_2!B:H,7,FALSE)</f>
        <v>30</v>
      </c>
      <c r="Q578" t="str">
        <f t="shared" si="24"/>
        <v>Weekday</v>
      </c>
      <c r="R578" t="str">
        <f t="shared" si="25"/>
        <v>Morning</v>
      </c>
      <c r="S578" t="str">
        <f t="shared" si="26"/>
        <v>Low</v>
      </c>
    </row>
    <row r="579" spans="1:19">
      <c r="A579" s="14">
        <v>578</v>
      </c>
      <c r="B579" s="15">
        <v>40569</v>
      </c>
      <c r="C579" s="14">
        <v>1</v>
      </c>
      <c r="D579" s="14">
        <v>0</v>
      </c>
      <c r="E579" s="14">
        <v>1</v>
      </c>
      <c r="F579" s="14">
        <v>8</v>
      </c>
      <c r="G579" s="14" t="b">
        <v>0</v>
      </c>
      <c r="H579" s="14">
        <v>3</v>
      </c>
      <c r="I579" s="14">
        <v>3</v>
      </c>
      <c r="J579" s="14">
        <v>0.22</v>
      </c>
      <c r="K579">
        <f>VLOOKUP(A579,[1]dataset_2!B:H,2,FALSE)</f>
        <v>0.21210000000000001</v>
      </c>
      <c r="L579">
        <f>VLOOKUP(A579,[1]dataset_2!B:H,3,FALSE)</f>
        <v>0.87</v>
      </c>
      <c r="M579">
        <f>VLOOKUP(A579,[1]dataset_2!B:H,4,FALSE)</f>
        <v>0.29849999999999999</v>
      </c>
      <c r="N579">
        <f>VLOOKUP(A579,[1]dataset_2!B:H,5,FALSE)</f>
        <v>3</v>
      </c>
      <c r="O579">
        <f>VLOOKUP(A579,[1]dataset_2!B:H,6,FALSE)</f>
        <v>69</v>
      </c>
      <c r="P579">
        <f>VLOOKUP(A579,[1]dataset_2!B:H,7,FALSE)</f>
        <v>72</v>
      </c>
      <c r="Q579" t="str">
        <f t="shared" ref="Q579:Q611" si="27">IF(OR(H579=0,H579=6),"Weekend","Weekday")</f>
        <v>Weekday</v>
      </c>
      <c r="R579" t="str">
        <f t="shared" ref="R579:R611" si="28">IF(F579&lt;12,"Morning",IF(F579&lt;18,"Afternoon","Evening"))</f>
        <v>Morning</v>
      </c>
      <c r="S579" t="str">
        <f t="shared" ref="S579:S611" si="29">IF(P579&gt;100,"High","Low")</f>
        <v>Low</v>
      </c>
    </row>
    <row r="580" spans="1:19">
      <c r="A580" s="14">
        <v>579</v>
      </c>
      <c r="B580" s="15">
        <v>40569</v>
      </c>
      <c r="C580" s="14">
        <v>1</v>
      </c>
      <c r="D580" s="14">
        <v>0</v>
      </c>
      <c r="E580" s="14">
        <v>1</v>
      </c>
      <c r="F580" s="14">
        <v>9</v>
      </c>
      <c r="G580" s="14" t="b">
        <v>0</v>
      </c>
      <c r="H580" s="14">
        <v>3</v>
      </c>
      <c r="I580" s="14">
        <v>3</v>
      </c>
      <c r="J580" s="14">
        <v>0.22</v>
      </c>
      <c r="K580">
        <f>VLOOKUP(A580,[1]dataset_2!B:H,2,FALSE)</f>
        <v>0.21210000000000001</v>
      </c>
      <c r="L580">
        <f>VLOOKUP(A580,[1]dataset_2!B:H,3,FALSE)</f>
        <v>0.87</v>
      </c>
      <c r="M580">
        <f>VLOOKUP(A580,[1]dataset_2!B:H,4,FALSE)</f>
        <v>0.29849999999999999</v>
      </c>
      <c r="N580">
        <f>VLOOKUP(A580,[1]dataset_2!B:H,5,FALSE)</f>
        <v>3</v>
      </c>
      <c r="O580">
        <f>VLOOKUP(A580,[1]dataset_2!B:H,6,FALSE)</f>
        <v>55</v>
      </c>
      <c r="P580">
        <f>VLOOKUP(A580,[1]dataset_2!B:H,7,FALSE)</f>
        <v>58</v>
      </c>
      <c r="Q580" t="str">
        <f t="shared" si="27"/>
        <v>Weekday</v>
      </c>
      <c r="R580" t="str">
        <f t="shared" si="28"/>
        <v>Morning</v>
      </c>
      <c r="S580" t="str">
        <f t="shared" si="29"/>
        <v>Low</v>
      </c>
    </row>
    <row r="581" spans="1:19">
      <c r="A581" s="14">
        <v>580</v>
      </c>
      <c r="B581" s="15">
        <v>40569</v>
      </c>
      <c r="C581" s="14">
        <v>1</v>
      </c>
      <c r="D581" s="14">
        <v>0</v>
      </c>
      <c r="E581" s="14">
        <v>1</v>
      </c>
      <c r="F581" s="14">
        <v>10</v>
      </c>
      <c r="G581" s="14" t="b">
        <v>0</v>
      </c>
      <c r="H581" s="14">
        <v>3</v>
      </c>
      <c r="I581" s="14">
        <v>3</v>
      </c>
      <c r="J581" s="14">
        <v>0.22</v>
      </c>
      <c r="K581">
        <f>VLOOKUP(A581,[1]dataset_2!B:H,2,FALSE)</f>
        <v>0.21210000000000001</v>
      </c>
      <c r="L581">
        <f>VLOOKUP(A581,[1]dataset_2!B:H,3,FALSE)</f>
        <v>0.93</v>
      </c>
      <c r="M581">
        <f>VLOOKUP(A581,[1]dataset_2!B:H,4,FALSE)</f>
        <v>0.28360000000000002</v>
      </c>
      <c r="N581">
        <f>VLOOKUP(A581,[1]dataset_2!B:H,5,FALSE)</f>
        <v>2</v>
      </c>
      <c r="O581">
        <f>VLOOKUP(A581,[1]dataset_2!B:H,6,FALSE)</f>
        <v>26</v>
      </c>
      <c r="P581">
        <f>VLOOKUP(A581,[1]dataset_2!B:H,7,FALSE)</f>
        <v>28</v>
      </c>
      <c r="Q581" t="str">
        <f t="shared" si="27"/>
        <v>Weekday</v>
      </c>
      <c r="R581" t="str">
        <f t="shared" si="28"/>
        <v>Morning</v>
      </c>
      <c r="S581" t="str">
        <f t="shared" si="29"/>
        <v>Low</v>
      </c>
    </row>
    <row r="582" spans="1:19">
      <c r="A582" s="14">
        <v>581</v>
      </c>
      <c r="B582" s="15">
        <v>40569</v>
      </c>
      <c r="C582" s="14">
        <v>1</v>
      </c>
      <c r="D582" s="14">
        <v>0</v>
      </c>
      <c r="E582" s="14">
        <v>1</v>
      </c>
      <c r="F582" s="14">
        <v>11</v>
      </c>
      <c r="G582" s="14" t="b">
        <v>0</v>
      </c>
      <c r="H582" s="14">
        <v>3</v>
      </c>
      <c r="I582" s="14">
        <v>3</v>
      </c>
      <c r="J582" s="14">
        <v>0.22</v>
      </c>
      <c r="K582">
        <f>VLOOKUP(A582,[1]dataset_2!B:H,2,FALSE)</f>
        <v>0.19700000000000001</v>
      </c>
      <c r="L582">
        <f>VLOOKUP(A582,[1]dataset_2!B:H,3,FALSE)</f>
        <v>0.93</v>
      </c>
      <c r="M582">
        <f>VLOOKUP(A582,[1]dataset_2!B:H,4,FALSE)</f>
        <v>0.32840000000000003</v>
      </c>
      <c r="N582">
        <f>VLOOKUP(A582,[1]dataset_2!B:H,5,FALSE)</f>
        <v>6</v>
      </c>
      <c r="O582">
        <f>VLOOKUP(A582,[1]dataset_2!B:H,6,FALSE)</f>
        <v>35</v>
      </c>
      <c r="P582">
        <f>VLOOKUP(A582,[1]dataset_2!B:H,7,FALSE)</f>
        <v>41</v>
      </c>
      <c r="Q582" t="str">
        <f t="shared" si="27"/>
        <v>Weekday</v>
      </c>
      <c r="R582" t="str">
        <f t="shared" si="28"/>
        <v>Morning</v>
      </c>
      <c r="S582" t="str">
        <f t="shared" si="29"/>
        <v>Low</v>
      </c>
    </row>
    <row r="583" spans="1:19">
      <c r="A583" s="14">
        <v>582</v>
      </c>
      <c r="B583" s="15">
        <v>40569</v>
      </c>
      <c r="C583" s="14">
        <v>1</v>
      </c>
      <c r="D583" s="14">
        <v>0</v>
      </c>
      <c r="E583" s="14">
        <v>1</v>
      </c>
      <c r="F583" s="14">
        <v>12</v>
      </c>
      <c r="G583" s="14" t="b">
        <v>0</v>
      </c>
      <c r="H583" s="14">
        <v>3</v>
      </c>
      <c r="I583" s="14">
        <v>3</v>
      </c>
      <c r="J583" s="14">
        <v>0.22</v>
      </c>
      <c r="K583">
        <f>VLOOKUP(A583,[1]dataset_2!B:H,2,FALSE)</f>
        <v>0.19700000000000001</v>
      </c>
      <c r="L583">
        <f>VLOOKUP(A583,[1]dataset_2!B:H,3,FALSE)</f>
        <v>0.93</v>
      </c>
      <c r="M583">
        <f>VLOOKUP(A583,[1]dataset_2!B:H,4,FALSE)</f>
        <v>0.32840000000000003</v>
      </c>
      <c r="N583">
        <f>VLOOKUP(A583,[1]dataset_2!B:H,5,FALSE)</f>
        <v>7</v>
      </c>
      <c r="O583">
        <f>VLOOKUP(A583,[1]dataset_2!B:H,6,FALSE)</f>
        <v>41</v>
      </c>
      <c r="P583">
        <f>VLOOKUP(A583,[1]dataset_2!B:H,7,FALSE)</f>
        <v>48</v>
      </c>
      <c r="Q583" t="str">
        <f t="shared" si="27"/>
        <v>Weekday</v>
      </c>
      <c r="R583" t="str">
        <f t="shared" si="28"/>
        <v>Afternoon</v>
      </c>
      <c r="S583" t="str">
        <f t="shared" si="29"/>
        <v>Low</v>
      </c>
    </row>
    <row r="584" spans="1:19">
      <c r="A584" s="14">
        <v>583</v>
      </c>
      <c r="B584" s="15">
        <v>40569</v>
      </c>
      <c r="C584" s="14">
        <v>1</v>
      </c>
      <c r="D584" s="14">
        <v>0</v>
      </c>
      <c r="E584" s="14">
        <v>1</v>
      </c>
      <c r="F584" s="14">
        <v>13</v>
      </c>
      <c r="G584" s="14" t="b">
        <v>0</v>
      </c>
      <c r="H584" s="14">
        <v>3</v>
      </c>
      <c r="I584" s="14">
        <v>3</v>
      </c>
      <c r="J584" s="14">
        <v>0.22</v>
      </c>
      <c r="K584">
        <f>VLOOKUP(A584,[1]dataset_2!B:H,2,FALSE)</f>
        <v>0.19700000000000001</v>
      </c>
      <c r="L584">
        <f>VLOOKUP(A584,[1]dataset_2!B:H,3,FALSE)</f>
        <v>0.93</v>
      </c>
      <c r="M584">
        <f>VLOOKUP(A584,[1]dataset_2!B:H,4,FALSE)</f>
        <v>0.32840000000000003</v>
      </c>
      <c r="N584">
        <f>VLOOKUP(A584,[1]dataset_2!B:H,5,FALSE)</f>
        <v>4</v>
      </c>
      <c r="O584">
        <f>VLOOKUP(A584,[1]dataset_2!B:H,6,FALSE)</f>
        <v>43</v>
      </c>
      <c r="P584">
        <f>VLOOKUP(A584,[1]dataset_2!B:H,7,FALSE)</f>
        <v>47</v>
      </c>
      <c r="Q584" t="str">
        <f t="shared" si="27"/>
        <v>Weekday</v>
      </c>
      <c r="R584" t="str">
        <f t="shared" si="28"/>
        <v>Afternoon</v>
      </c>
      <c r="S584" t="str">
        <f t="shared" si="29"/>
        <v>Low</v>
      </c>
    </row>
    <row r="585" spans="1:19">
      <c r="A585" s="14">
        <v>584</v>
      </c>
      <c r="B585" s="15">
        <v>40569</v>
      </c>
      <c r="C585" s="14">
        <v>1</v>
      </c>
      <c r="D585" s="14">
        <v>0</v>
      </c>
      <c r="E585" s="14">
        <v>1</v>
      </c>
      <c r="F585" s="14">
        <v>14</v>
      </c>
      <c r="G585" s="14" t="b">
        <v>0</v>
      </c>
      <c r="H585" s="14">
        <v>3</v>
      </c>
      <c r="I585" s="14">
        <v>3</v>
      </c>
      <c r="J585" s="14">
        <v>0.22</v>
      </c>
      <c r="K585">
        <f>VLOOKUP(A585,[1]dataset_2!B:H,2,FALSE)</f>
        <v>0.19700000000000001</v>
      </c>
      <c r="L585">
        <f>VLOOKUP(A585,[1]dataset_2!B:H,3,FALSE)</f>
        <v>0.93</v>
      </c>
      <c r="M585">
        <f>VLOOKUP(A585,[1]dataset_2!B:H,4,FALSE)</f>
        <v>0.35820000000000002</v>
      </c>
      <c r="N585">
        <f>VLOOKUP(A585,[1]dataset_2!B:H,5,FALSE)</f>
        <v>0</v>
      </c>
      <c r="O585">
        <f>VLOOKUP(A585,[1]dataset_2!B:H,6,FALSE)</f>
        <v>36</v>
      </c>
      <c r="P585">
        <f>VLOOKUP(A585,[1]dataset_2!B:H,7,FALSE)</f>
        <v>36</v>
      </c>
      <c r="Q585" t="str">
        <f t="shared" si="27"/>
        <v>Weekday</v>
      </c>
      <c r="R585" t="str">
        <f t="shared" si="28"/>
        <v>Afternoon</v>
      </c>
      <c r="S585" t="str">
        <f t="shared" si="29"/>
        <v>Low</v>
      </c>
    </row>
    <row r="586" spans="1:19">
      <c r="A586" s="14">
        <v>585</v>
      </c>
      <c r="B586" s="15">
        <v>40569</v>
      </c>
      <c r="C586" s="14">
        <v>1</v>
      </c>
      <c r="D586" s="14">
        <v>0</v>
      </c>
      <c r="E586" s="14">
        <v>1</v>
      </c>
      <c r="F586" s="14">
        <v>15</v>
      </c>
      <c r="G586" s="14" t="b">
        <v>0</v>
      </c>
      <c r="H586" s="14">
        <v>3</v>
      </c>
      <c r="I586" s="14">
        <v>3</v>
      </c>
      <c r="J586" s="14">
        <v>0.22</v>
      </c>
      <c r="K586">
        <f>VLOOKUP(A586,[1]dataset_2!B:H,2,FALSE)</f>
        <v>0.18179999999999999</v>
      </c>
      <c r="L586">
        <f>VLOOKUP(A586,[1]dataset_2!B:H,3,FALSE)</f>
        <v>0.93</v>
      </c>
      <c r="M586">
        <f>VLOOKUP(A586,[1]dataset_2!B:H,4,FALSE)</f>
        <v>0.4627</v>
      </c>
      <c r="N586">
        <f>VLOOKUP(A586,[1]dataset_2!B:H,5,FALSE)</f>
        <v>1</v>
      </c>
      <c r="O586">
        <f>VLOOKUP(A586,[1]dataset_2!B:H,6,FALSE)</f>
        <v>42</v>
      </c>
      <c r="P586">
        <f>VLOOKUP(A586,[1]dataset_2!B:H,7,FALSE)</f>
        <v>43</v>
      </c>
      <c r="Q586" t="str">
        <f t="shared" si="27"/>
        <v>Weekday</v>
      </c>
      <c r="R586" t="str">
        <f t="shared" si="28"/>
        <v>Afternoon</v>
      </c>
      <c r="S586" t="str">
        <f t="shared" si="29"/>
        <v>Low</v>
      </c>
    </row>
    <row r="587" spans="1:19">
      <c r="A587" s="14">
        <v>586</v>
      </c>
      <c r="B587" s="15">
        <v>40569</v>
      </c>
      <c r="C587" s="14">
        <v>1</v>
      </c>
      <c r="D587" s="14">
        <v>0</v>
      </c>
      <c r="E587" s="14">
        <v>1</v>
      </c>
      <c r="F587" s="14">
        <v>16</v>
      </c>
      <c r="G587" s="14" t="b">
        <v>0</v>
      </c>
      <c r="H587" s="14">
        <v>3</v>
      </c>
      <c r="I587" s="14">
        <v>4</v>
      </c>
      <c r="J587" s="14">
        <v>0.22</v>
      </c>
      <c r="K587">
        <f>VLOOKUP(A587,[1]dataset_2!B:H,2,FALSE)</f>
        <v>0.19700000000000001</v>
      </c>
      <c r="L587">
        <f>VLOOKUP(A587,[1]dataset_2!B:H,3,FALSE)</f>
        <v>0.93</v>
      </c>
      <c r="M587">
        <f>VLOOKUP(A587,[1]dataset_2!B:H,4,FALSE)</f>
        <v>0.32840000000000003</v>
      </c>
      <c r="N587">
        <f>VLOOKUP(A587,[1]dataset_2!B:H,5,FALSE)</f>
        <v>1</v>
      </c>
      <c r="O587">
        <f>VLOOKUP(A587,[1]dataset_2!B:H,6,FALSE)</f>
        <v>35</v>
      </c>
      <c r="P587">
        <f>VLOOKUP(A587,[1]dataset_2!B:H,7,FALSE)</f>
        <v>36</v>
      </c>
      <c r="Q587" t="str">
        <f t="shared" si="27"/>
        <v>Weekday</v>
      </c>
      <c r="R587" t="str">
        <f t="shared" si="28"/>
        <v>Afternoon</v>
      </c>
      <c r="S587" t="str">
        <f t="shared" si="29"/>
        <v>Low</v>
      </c>
    </row>
    <row r="588" spans="1:19">
      <c r="A588" s="14">
        <v>587</v>
      </c>
      <c r="B588" s="15">
        <v>40569</v>
      </c>
      <c r="C588" s="14">
        <v>1</v>
      </c>
      <c r="D588" s="14">
        <v>0</v>
      </c>
      <c r="E588" s="14">
        <v>1</v>
      </c>
      <c r="F588" s="14">
        <v>17</v>
      </c>
      <c r="G588" s="14" t="b">
        <v>0</v>
      </c>
      <c r="H588" s="14">
        <v>3</v>
      </c>
      <c r="I588" s="14">
        <v>3</v>
      </c>
      <c r="J588" s="14">
        <v>0.2</v>
      </c>
      <c r="K588">
        <f>VLOOKUP(A588,[1]dataset_2!B:H,2,FALSE)</f>
        <v>0.18179999999999999</v>
      </c>
      <c r="L588">
        <f>VLOOKUP(A588,[1]dataset_2!B:H,3,FALSE)</f>
        <v>0.93</v>
      </c>
      <c r="M588">
        <f>VLOOKUP(A588,[1]dataset_2!B:H,4,FALSE)</f>
        <v>0.35820000000000002</v>
      </c>
      <c r="N588">
        <f>VLOOKUP(A588,[1]dataset_2!B:H,5,FALSE)</f>
        <v>0</v>
      </c>
      <c r="O588">
        <f>VLOOKUP(A588,[1]dataset_2!B:H,6,FALSE)</f>
        <v>26</v>
      </c>
      <c r="P588">
        <f>VLOOKUP(A588,[1]dataset_2!B:H,7,FALSE)</f>
        <v>26</v>
      </c>
      <c r="Q588" t="str">
        <f t="shared" si="27"/>
        <v>Weekday</v>
      </c>
      <c r="R588" t="str">
        <f t="shared" si="28"/>
        <v>Afternoon</v>
      </c>
      <c r="S588" t="str">
        <f t="shared" si="29"/>
        <v>Low</v>
      </c>
    </row>
    <row r="589" spans="1:19">
      <c r="A589" s="14">
        <v>588</v>
      </c>
      <c r="B589" s="15">
        <v>40570</v>
      </c>
      <c r="C589" s="14">
        <v>1</v>
      </c>
      <c r="D589" s="14">
        <v>0</v>
      </c>
      <c r="E589" s="14">
        <v>1</v>
      </c>
      <c r="F589" s="14">
        <v>16</v>
      </c>
      <c r="G589" s="14" t="b">
        <v>0</v>
      </c>
      <c r="H589" s="14">
        <v>4</v>
      </c>
      <c r="I589" s="14">
        <v>1</v>
      </c>
      <c r="J589" s="14">
        <v>0.22</v>
      </c>
      <c r="K589">
        <f>VLOOKUP(A589,[1]dataset_2!B:H,2,FALSE)</f>
        <v>0.2273</v>
      </c>
      <c r="L589">
        <f>VLOOKUP(A589,[1]dataset_2!B:H,3,FALSE)</f>
        <v>0.55000000000000004</v>
      </c>
      <c r="M589">
        <f>VLOOKUP(A589,[1]dataset_2!B:H,4,FALSE)</f>
        <v>0.19400000000000001</v>
      </c>
      <c r="N589">
        <f>VLOOKUP(A589,[1]dataset_2!B:H,5,FALSE)</f>
        <v>1</v>
      </c>
      <c r="O589">
        <f>VLOOKUP(A589,[1]dataset_2!B:H,6,FALSE)</f>
        <v>23</v>
      </c>
      <c r="P589">
        <f>VLOOKUP(A589,[1]dataset_2!B:H,7,FALSE)</f>
        <v>24</v>
      </c>
      <c r="Q589" t="str">
        <f t="shared" si="27"/>
        <v>Weekday</v>
      </c>
      <c r="R589" t="str">
        <f t="shared" si="28"/>
        <v>Afternoon</v>
      </c>
      <c r="S589" t="str">
        <f t="shared" si="29"/>
        <v>Low</v>
      </c>
    </row>
    <row r="590" spans="1:19">
      <c r="A590" s="14">
        <v>589</v>
      </c>
      <c r="B590" s="15">
        <v>40570</v>
      </c>
      <c r="C590" s="14">
        <v>1</v>
      </c>
      <c r="D590" s="14">
        <v>0</v>
      </c>
      <c r="E590" s="14">
        <v>1</v>
      </c>
      <c r="F590" s="14">
        <v>17</v>
      </c>
      <c r="G590" s="14" t="b">
        <v>0</v>
      </c>
      <c r="H590" s="14">
        <v>4</v>
      </c>
      <c r="I590" s="14">
        <v>1</v>
      </c>
      <c r="J590" s="14">
        <v>0.22</v>
      </c>
      <c r="K590">
        <f>VLOOKUP(A590,[1]dataset_2!B:H,2,FALSE)</f>
        <v>0.2424</v>
      </c>
      <c r="L590">
        <f>VLOOKUP(A590,[1]dataset_2!B:H,3,FALSE)</f>
        <v>0.55000000000000004</v>
      </c>
      <c r="M590">
        <f>VLOOKUP(A590,[1]dataset_2!B:H,4,FALSE)</f>
        <v>0.1045</v>
      </c>
      <c r="N590">
        <f>VLOOKUP(A590,[1]dataset_2!B:H,5,FALSE)</f>
        <v>2</v>
      </c>
      <c r="O590">
        <f>VLOOKUP(A590,[1]dataset_2!B:H,6,FALSE)</f>
        <v>82</v>
      </c>
      <c r="P590">
        <f>VLOOKUP(A590,[1]dataset_2!B:H,7,FALSE)</f>
        <v>84</v>
      </c>
      <c r="Q590" t="str">
        <f t="shared" si="27"/>
        <v>Weekday</v>
      </c>
      <c r="R590" t="str">
        <f t="shared" si="28"/>
        <v>Afternoon</v>
      </c>
      <c r="S590" t="str">
        <f t="shared" si="29"/>
        <v>Low</v>
      </c>
    </row>
    <row r="591" spans="1:19">
      <c r="A591" s="14">
        <v>590</v>
      </c>
      <c r="B591" s="15">
        <v>40570</v>
      </c>
      <c r="C591" s="14">
        <v>1</v>
      </c>
      <c r="D591" s="14">
        <v>0</v>
      </c>
      <c r="E591" s="14">
        <v>1</v>
      </c>
      <c r="F591" s="14">
        <v>18</v>
      </c>
      <c r="G591" s="14" t="b">
        <v>0</v>
      </c>
      <c r="H591" s="14">
        <v>4</v>
      </c>
      <c r="I591" s="14">
        <v>1</v>
      </c>
      <c r="J591" s="14">
        <v>0.2</v>
      </c>
      <c r="K591">
        <f>VLOOKUP(A591,[1]dataset_2!B:H,2,FALSE)</f>
        <v>0.2273</v>
      </c>
      <c r="L591">
        <f>VLOOKUP(A591,[1]dataset_2!B:H,3,FALSE)</f>
        <v>0.69</v>
      </c>
      <c r="M591">
        <f>VLOOKUP(A591,[1]dataset_2!B:H,4,FALSE)</f>
        <v>8.9599999999999999E-2</v>
      </c>
      <c r="N591">
        <f>VLOOKUP(A591,[1]dataset_2!B:H,5,FALSE)</f>
        <v>3</v>
      </c>
      <c r="O591">
        <f>VLOOKUP(A591,[1]dataset_2!B:H,6,FALSE)</f>
        <v>101</v>
      </c>
      <c r="P591">
        <f>VLOOKUP(A591,[1]dataset_2!B:H,7,FALSE)</f>
        <v>104</v>
      </c>
      <c r="Q591" t="str">
        <f t="shared" si="27"/>
        <v>Weekday</v>
      </c>
      <c r="R591" t="str">
        <f t="shared" si="28"/>
        <v>Evening</v>
      </c>
      <c r="S591" t="str">
        <f t="shared" si="29"/>
        <v>High</v>
      </c>
    </row>
    <row r="592" spans="1:19">
      <c r="A592" s="14">
        <v>591</v>
      </c>
      <c r="B592" s="15">
        <v>40570</v>
      </c>
      <c r="C592" s="14">
        <v>1</v>
      </c>
      <c r="D592" s="14">
        <v>0</v>
      </c>
      <c r="E592" s="14">
        <v>1</v>
      </c>
      <c r="F592" s="14">
        <v>19</v>
      </c>
      <c r="G592" s="14" t="b">
        <v>0</v>
      </c>
      <c r="H592" s="14">
        <v>4</v>
      </c>
      <c r="I592" s="14">
        <v>1</v>
      </c>
      <c r="J592" s="14">
        <v>0.2</v>
      </c>
      <c r="K592">
        <f>VLOOKUP(A592,[1]dataset_2!B:H,2,FALSE)</f>
        <v>0.2273</v>
      </c>
      <c r="L592">
        <f>VLOOKUP(A592,[1]dataset_2!B:H,3,FALSE)</f>
        <v>0.69</v>
      </c>
      <c r="M592">
        <f>VLOOKUP(A592,[1]dataset_2!B:H,4,FALSE)</f>
        <v>8.9599999999999999E-2</v>
      </c>
      <c r="N592">
        <f>VLOOKUP(A592,[1]dataset_2!B:H,5,FALSE)</f>
        <v>3</v>
      </c>
      <c r="O592">
        <f>VLOOKUP(A592,[1]dataset_2!B:H,6,FALSE)</f>
        <v>76</v>
      </c>
      <c r="P592">
        <f>VLOOKUP(A592,[1]dataset_2!B:H,7,FALSE)</f>
        <v>79</v>
      </c>
      <c r="Q592" t="str">
        <f t="shared" si="27"/>
        <v>Weekday</v>
      </c>
      <c r="R592" t="str">
        <f t="shared" si="28"/>
        <v>Evening</v>
      </c>
      <c r="S592" t="str">
        <f t="shared" si="29"/>
        <v>Low</v>
      </c>
    </row>
    <row r="593" spans="1:19">
      <c r="A593" s="14">
        <v>592</v>
      </c>
      <c r="B593" s="15">
        <v>40570</v>
      </c>
      <c r="C593" s="14">
        <v>1</v>
      </c>
      <c r="D593" s="14">
        <v>0</v>
      </c>
      <c r="E593" s="14">
        <v>1</v>
      </c>
      <c r="F593" s="14">
        <v>20</v>
      </c>
      <c r="G593" s="14" t="b">
        <v>0</v>
      </c>
      <c r="H593" s="14">
        <v>4</v>
      </c>
      <c r="I593" s="14">
        <v>1</v>
      </c>
      <c r="J593" s="14">
        <v>0.18</v>
      </c>
      <c r="K593">
        <f>VLOOKUP(A593,[1]dataset_2!B:H,2,FALSE)</f>
        <v>0.21210000000000001</v>
      </c>
      <c r="L593">
        <f>VLOOKUP(A593,[1]dataset_2!B:H,3,FALSE)</f>
        <v>0.74</v>
      </c>
      <c r="M593">
        <f>VLOOKUP(A593,[1]dataset_2!B:H,4,FALSE)</f>
        <v>8.9599999999999999E-2</v>
      </c>
      <c r="N593">
        <f>VLOOKUP(A593,[1]dataset_2!B:H,5,FALSE)</f>
        <v>4</v>
      </c>
      <c r="O593">
        <f>VLOOKUP(A593,[1]dataset_2!B:H,6,FALSE)</f>
        <v>55</v>
      </c>
      <c r="P593">
        <f>VLOOKUP(A593,[1]dataset_2!B:H,7,FALSE)</f>
        <v>59</v>
      </c>
      <c r="Q593" t="str">
        <f t="shared" si="27"/>
        <v>Weekday</v>
      </c>
      <c r="R593" t="str">
        <f t="shared" si="28"/>
        <v>Evening</v>
      </c>
      <c r="S593" t="str">
        <f t="shared" si="29"/>
        <v>Low</v>
      </c>
    </row>
    <row r="594" spans="1:19">
      <c r="A594" s="14">
        <v>593</v>
      </c>
      <c r="B594" s="15">
        <v>40570</v>
      </c>
      <c r="C594" s="14">
        <v>1</v>
      </c>
      <c r="D594" s="14">
        <v>0</v>
      </c>
      <c r="E594" s="14">
        <v>1</v>
      </c>
      <c r="F594" s="14">
        <v>21</v>
      </c>
      <c r="G594" s="14" t="b">
        <v>0</v>
      </c>
      <c r="H594" s="14">
        <v>4</v>
      </c>
      <c r="I594" s="14">
        <v>1</v>
      </c>
      <c r="J594" s="14">
        <v>0.18</v>
      </c>
      <c r="K594">
        <f>VLOOKUP(A594,[1]dataset_2!B:H,2,FALSE)</f>
        <v>0.21210000000000001</v>
      </c>
      <c r="L594">
        <f>VLOOKUP(A594,[1]dataset_2!B:H,3,FALSE)</f>
        <v>0.74</v>
      </c>
      <c r="M594">
        <f>VLOOKUP(A594,[1]dataset_2!B:H,4,FALSE)</f>
        <v>8.9599999999999999E-2</v>
      </c>
      <c r="N594">
        <f>VLOOKUP(A594,[1]dataset_2!B:H,5,FALSE)</f>
        <v>2</v>
      </c>
      <c r="O594">
        <f>VLOOKUP(A594,[1]dataset_2!B:H,6,FALSE)</f>
        <v>36</v>
      </c>
      <c r="P594">
        <f>VLOOKUP(A594,[1]dataset_2!B:H,7,FALSE)</f>
        <v>38</v>
      </c>
      <c r="Q594" t="str">
        <f t="shared" si="27"/>
        <v>Weekday</v>
      </c>
      <c r="R594" t="str">
        <f t="shared" si="28"/>
        <v>Evening</v>
      </c>
      <c r="S594" t="str">
        <f t="shared" si="29"/>
        <v>Low</v>
      </c>
    </row>
    <row r="595" spans="1:19">
      <c r="A595" s="14">
        <v>594</v>
      </c>
      <c r="B595" s="15">
        <v>40570</v>
      </c>
      <c r="C595" s="14">
        <v>1</v>
      </c>
      <c r="D595" s="14">
        <v>0</v>
      </c>
      <c r="E595" s="14">
        <v>1</v>
      </c>
      <c r="F595" s="14">
        <v>22</v>
      </c>
      <c r="G595" s="14" t="b">
        <v>0</v>
      </c>
      <c r="H595" s="14">
        <v>4</v>
      </c>
      <c r="I595" s="14">
        <v>1</v>
      </c>
      <c r="J595" s="14">
        <v>0.18</v>
      </c>
      <c r="K595">
        <f>VLOOKUP(A595,[1]dataset_2!B:H,2,FALSE)</f>
        <v>0.21210000000000001</v>
      </c>
      <c r="L595">
        <f>VLOOKUP(A595,[1]dataset_2!B:H,3,FALSE)</f>
        <v>0.74</v>
      </c>
      <c r="M595">
        <f>VLOOKUP(A595,[1]dataset_2!B:H,4,FALSE)</f>
        <v>8.9599999999999999E-2</v>
      </c>
      <c r="N595">
        <f>VLOOKUP(A595,[1]dataset_2!B:H,5,FALSE)</f>
        <v>0</v>
      </c>
      <c r="O595">
        <f>VLOOKUP(A595,[1]dataset_2!B:H,6,FALSE)</f>
        <v>27</v>
      </c>
      <c r="P595">
        <f>VLOOKUP(A595,[1]dataset_2!B:H,7,FALSE)</f>
        <v>27</v>
      </c>
      <c r="Q595" t="str">
        <f t="shared" si="27"/>
        <v>Weekday</v>
      </c>
      <c r="R595" t="str">
        <f t="shared" si="28"/>
        <v>Evening</v>
      </c>
      <c r="S595" t="str">
        <f t="shared" si="29"/>
        <v>Low</v>
      </c>
    </row>
    <row r="596" spans="1:19">
      <c r="A596" s="14">
        <v>595</v>
      </c>
      <c r="B596" s="15">
        <v>40570</v>
      </c>
      <c r="C596" s="14">
        <v>1</v>
      </c>
      <c r="D596" s="14">
        <v>0</v>
      </c>
      <c r="E596" s="14">
        <v>1</v>
      </c>
      <c r="F596" s="14">
        <v>23</v>
      </c>
      <c r="G596" s="14" t="b">
        <v>0</v>
      </c>
      <c r="H596" s="14">
        <v>4</v>
      </c>
      <c r="I596" s="14">
        <v>1</v>
      </c>
      <c r="J596" s="14">
        <v>0.18</v>
      </c>
      <c r="K596">
        <f>VLOOKUP(A596,[1]dataset_2!B:H,2,FALSE)</f>
        <v>0.19700000000000001</v>
      </c>
      <c r="L596">
        <f>VLOOKUP(A596,[1]dataset_2!B:H,3,FALSE)</f>
        <v>0.8</v>
      </c>
      <c r="M596">
        <f>VLOOKUP(A596,[1]dataset_2!B:H,4,FALSE)</f>
        <v>0.16420000000000001</v>
      </c>
      <c r="N596">
        <f>VLOOKUP(A596,[1]dataset_2!B:H,5,FALSE)</f>
        <v>0</v>
      </c>
      <c r="O596">
        <f>VLOOKUP(A596,[1]dataset_2!B:H,6,FALSE)</f>
        <v>16</v>
      </c>
      <c r="P596">
        <f>VLOOKUP(A596,[1]dataset_2!B:H,7,FALSE)</f>
        <v>16</v>
      </c>
      <c r="Q596" t="str">
        <f t="shared" si="27"/>
        <v>Weekday</v>
      </c>
      <c r="R596" t="str">
        <f t="shared" si="28"/>
        <v>Evening</v>
      </c>
      <c r="S596" t="str">
        <f t="shared" si="29"/>
        <v>Low</v>
      </c>
    </row>
    <row r="597" spans="1:19">
      <c r="A597" s="14">
        <v>596</v>
      </c>
      <c r="B597" s="15">
        <v>40571</v>
      </c>
      <c r="C597" s="14">
        <v>1</v>
      </c>
      <c r="D597" s="14">
        <v>0</v>
      </c>
      <c r="E597" s="14">
        <v>1</v>
      </c>
      <c r="F597" s="14">
        <v>0</v>
      </c>
      <c r="G597" s="14" t="b">
        <v>0</v>
      </c>
      <c r="H597" s="14">
        <v>5</v>
      </c>
      <c r="I597" s="14">
        <v>2</v>
      </c>
      <c r="J597" s="14">
        <v>0.2</v>
      </c>
      <c r="K597">
        <f>VLOOKUP(A597,[1]dataset_2!B:H,2,FALSE)</f>
        <v>0.21210000000000001</v>
      </c>
      <c r="L597">
        <f>VLOOKUP(A597,[1]dataset_2!B:H,3,FALSE)</f>
        <v>0.75</v>
      </c>
      <c r="M597">
        <f>VLOOKUP(A597,[1]dataset_2!B:H,4,FALSE)</f>
        <v>0.1343</v>
      </c>
      <c r="N597">
        <f>VLOOKUP(A597,[1]dataset_2!B:H,5,FALSE)</f>
        <v>0</v>
      </c>
      <c r="O597">
        <f>VLOOKUP(A597,[1]dataset_2!B:H,6,FALSE)</f>
        <v>9</v>
      </c>
      <c r="P597">
        <f>VLOOKUP(A597,[1]dataset_2!B:H,7,FALSE)</f>
        <v>9</v>
      </c>
      <c r="Q597" t="str">
        <f t="shared" si="27"/>
        <v>Weekday</v>
      </c>
      <c r="R597" t="str">
        <f t="shared" si="28"/>
        <v>Morning</v>
      </c>
      <c r="S597" t="str">
        <f t="shared" si="29"/>
        <v>Low</v>
      </c>
    </row>
    <row r="598" spans="1:19">
      <c r="A598" s="14">
        <v>597</v>
      </c>
      <c r="B598" s="15">
        <v>40571</v>
      </c>
      <c r="C598" s="14">
        <v>1</v>
      </c>
      <c r="D598" s="14">
        <v>0</v>
      </c>
      <c r="E598" s="14">
        <v>1</v>
      </c>
      <c r="F598" s="14">
        <v>1</v>
      </c>
      <c r="G598" s="14" t="b">
        <v>0</v>
      </c>
      <c r="H598" s="14">
        <v>5</v>
      </c>
      <c r="I598" s="14">
        <v>2</v>
      </c>
      <c r="J598" s="14">
        <v>0.2</v>
      </c>
      <c r="K598">
        <f>VLOOKUP(A598,[1]dataset_2!B:H,2,FALSE)</f>
        <v>0.21210000000000001</v>
      </c>
      <c r="L598">
        <f>VLOOKUP(A598,[1]dataset_2!B:H,3,FALSE)</f>
        <v>0.75</v>
      </c>
      <c r="M598">
        <f>VLOOKUP(A598,[1]dataset_2!B:H,4,FALSE)</f>
        <v>0.1343</v>
      </c>
      <c r="N598">
        <f>VLOOKUP(A598,[1]dataset_2!B:H,5,FALSE)</f>
        <v>1</v>
      </c>
      <c r="O598">
        <f>VLOOKUP(A598,[1]dataset_2!B:H,6,FALSE)</f>
        <v>2</v>
      </c>
      <c r="P598">
        <f>VLOOKUP(A598,[1]dataset_2!B:H,7,FALSE)</f>
        <v>3</v>
      </c>
      <c r="Q598" t="str">
        <f t="shared" si="27"/>
        <v>Weekday</v>
      </c>
      <c r="R598" t="str">
        <f t="shared" si="28"/>
        <v>Morning</v>
      </c>
      <c r="S598" t="str">
        <f t="shared" si="29"/>
        <v>Low</v>
      </c>
    </row>
    <row r="599" spans="1:19">
      <c r="A599" s="14">
        <v>598</v>
      </c>
      <c r="B599" s="15">
        <v>40571</v>
      </c>
      <c r="C599" s="14">
        <v>1</v>
      </c>
      <c r="D599" s="14">
        <v>0</v>
      </c>
      <c r="E599" s="14">
        <v>1</v>
      </c>
      <c r="F599" s="14">
        <v>2</v>
      </c>
      <c r="G599" s="14" t="b">
        <v>0</v>
      </c>
      <c r="H599" s="14">
        <v>5</v>
      </c>
      <c r="I599" s="14">
        <v>2</v>
      </c>
      <c r="J599" s="14">
        <v>0.2</v>
      </c>
      <c r="K599">
        <f>VLOOKUP(A599,[1]dataset_2!B:H,2,FALSE)</f>
        <v>0.21210000000000001</v>
      </c>
      <c r="L599">
        <f>VLOOKUP(A599,[1]dataset_2!B:H,3,FALSE)</f>
        <v>0.75</v>
      </c>
      <c r="M599">
        <f>VLOOKUP(A599,[1]dataset_2!B:H,4,FALSE)</f>
        <v>0.16420000000000001</v>
      </c>
      <c r="N599">
        <f>VLOOKUP(A599,[1]dataset_2!B:H,5,FALSE)</f>
        <v>0</v>
      </c>
      <c r="O599">
        <f>VLOOKUP(A599,[1]dataset_2!B:H,6,FALSE)</f>
        <v>2</v>
      </c>
      <c r="P599">
        <f>VLOOKUP(A599,[1]dataset_2!B:H,7,FALSE)</f>
        <v>2</v>
      </c>
      <c r="Q599" t="str">
        <f t="shared" si="27"/>
        <v>Weekday</v>
      </c>
      <c r="R599" t="str">
        <f t="shared" si="28"/>
        <v>Morning</v>
      </c>
      <c r="S599" t="str">
        <f t="shared" si="29"/>
        <v>Low</v>
      </c>
    </row>
    <row r="600" spans="1:19">
      <c r="A600" s="14">
        <v>599</v>
      </c>
      <c r="B600" s="15">
        <v>40571</v>
      </c>
      <c r="C600" s="14">
        <v>1</v>
      </c>
      <c r="D600" s="14">
        <v>0</v>
      </c>
      <c r="E600" s="14">
        <v>1</v>
      </c>
      <c r="F600" s="14">
        <v>3</v>
      </c>
      <c r="G600" s="14" t="b">
        <v>0</v>
      </c>
      <c r="H600" s="14">
        <v>5</v>
      </c>
      <c r="I600" s="14">
        <v>2</v>
      </c>
      <c r="J600" s="14">
        <v>0.2</v>
      </c>
      <c r="K600">
        <f>VLOOKUP(A600,[1]dataset_2!B:H,2,FALSE)</f>
        <v>0.2273</v>
      </c>
      <c r="L600">
        <f>VLOOKUP(A600,[1]dataset_2!B:H,3,FALSE)</f>
        <v>0.75</v>
      </c>
      <c r="M600">
        <f>VLOOKUP(A600,[1]dataset_2!B:H,4,FALSE)</f>
        <v>0.1045</v>
      </c>
      <c r="N600">
        <f>VLOOKUP(A600,[1]dataset_2!B:H,5,FALSE)</f>
        <v>1</v>
      </c>
      <c r="O600">
        <f>VLOOKUP(A600,[1]dataset_2!B:H,6,FALSE)</f>
        <v>0</v>
      </c>
      <c r="P600">
        <f>VLOOKUP(A600,[1]dataset_2!B:H,7,FALSE)</f>
        <v>1</v>
      </c>
      <c r="Q600" t="str">
        <f t="shared" si="27"/>
        <v>Weekday</v>
      </c>
      <c r="R600" t="str">
        <f t="shared" si="28"/>
        <v>Morning</v>
      </c>
      <c r="S600" t="str">
        <f t="shared" si="29"/>
        <v>Low</v>
      </c>
    </row>
    <row r="601" spans="1:19">
      <c r="A601" s="14">
        <v>600</v>
      </c>
      <c r="B601" s="15">
        <v>40571</v>
      </c>
      <c r="C601" s="14">
        <v>1</v>
      </c>
      <c r="D601" s="14">
        <v>0</v>
      </c>
      <c r="E601" s="14">
        <v>1</v>
      </c>
      <c r="F601" s="14">
        <v>5</v>
      </c>
      <c r="G601" s="14" t="b">
        <v>0</v>
      </c>
      <c r="H601" s="14">
        <v>5</v>
      </c>
      <c r="I601" s="14">
        <v>2</v>
      </c>
      <c r="J601" s="14">
        <v>0.18</v>
      </c>
      <c r="K601">
        <f>VLOOKUP(A601,[1]dataset_2!B:H,2,FALSE)</f>
        <v>0.21210000000000001</v>
      </c>
      <c r="L601">
        <f>VLOOKUP(A601,[1]dataset_2!B:H,3,FALSE)</f>
        <v>0.8</v>
      </c>
      <c r="M601">
        <f>VLOOKUP(A601,[1]dataset_2!B:H,4,FALSE)</f>
        <v>0.1045</v>
      </c>
      <c r="N601">
        <f>VLOOKUP(A601,[1]dataset_2!B:H,5,FALSE)</f>
        <v>0</v>
      </c>
      <c r="O601">
        <f>VLOOKUP(A601,[1]dataset_2!B:H,6,FALSE)</f>
        <v>4</v>
      </c>
      <c r="P601">
        <f>VLOOKUP(A601,[1]dataset_2!B:H,7,FALSE)</f>
        <v>4</v>
      </c>
      <c r="Q601" t="str">
        <f t="shared" si="27"/>
        <v>Weekday</v>
      </c>
      <c r="R601" t="str">
        <f t="shared" si="28"/>
        <v>Morning</v>
      </c>
      <c r="S601" t="str">
        <f t="shared" si="29"/>
        <v>Low</v>
      </c>
    </row>
    <row r="602" spans="1:19">
      <c r="A602" s="14">
        <v>601</v>
      </c>
      <c r="B602" s="15">
        <v>40571</v>
      </c>
      <c r="C602" s="14">
        <v>1</v>
      </c>
      <c r="D602" s="14">
        <v>0</v>
      </c>
      <c r="E602" s="14">
        <v>1</v>
      </c>
      <c r="F602" s="14">
        <v>6</v>
      </c>
      <c r="G602" s="14" t="b">
        <v>0</v>
      </c>
      <c r="H602" s="14">
        <v>5</v>
      </c>
      <c r="I602" s="14">
        <v>2</v>
      </c>
      <c r="J602" s="14">
        <v>0.18</v>
      </c>
      <c r="K602">
        <f>VLOOKUP(A602,[1]dataset_2!B:H,2,FALSE)</f>
        <v>0.19700000000000001</v>
      </c>
      <c r="L602">
        <f>VLOOKUP(A602,[1]dataset_2!B:H,3,FALSE)</f>
        <v>0.8</v>
      </c>
      <c r="M602">
        <f>VLOOKUP(A602,[1]dataset_2!B:H,4,FALSE)</f>
        <v>0.1343</v>
      </c>
      <c r="N602">
        <f>VLOOKUP(A602,[1]dataset_2!B:H,5,FALSE)</f>
        <v>0</v>
      </c>
      <c r="O602">
        <f>VLOOKUP(A602,[1]dataset_2!B:H,6,FALSE)</f>
        <v>16</v>
      </c>
      <c r="P602">
        <f>VLOOKUP(A602,[1]dataset_2!B:H,7,FALSE)</f>
        <v>16</v>
      </c>
      <c r="Q602" t="str">
        <f t="shared" si="27"/>
        <v>Weekday</v>
      </c>
      <c r="R602" t="str">
        <f t="shared" si="28"/>
        <v>Morning</v>
      </c>
      <c r="S602" t="str">
        <f t="shared" si="29"/>
        <v>Low</v>
      </c>
    </row>
    <row r="603" spans="1:19">
      <c r="A603" s="14">
        <v>602</v>
      </c>
      <c r="B603" s="15">
        <v>40571</v>
      </c>
      <c r="C603" s="14">
        <v>1</v>
      </c>
      <c r="D603" s="14">
        <v>0</v>
      </c>
      <c r="E603" s="14">
        <v>1</v>
      </c>
      <c r="F603" s="14">
        <v>7</v>
      </c>
      <c r="G603" s="14" t="b">
        <v>0</v>
      </c>
      <c r="H603" s="14">
        <v>5</v>
      </c>
      <c r="I603" s="14">
        <v>2</v>
      </c>
      <c r="J603" s="14">
        <v>0.16</v>
      </c>
      <c r="K603">
        <f>VLOOKUP(A603,[1]dataset_2!B:H,2,FALSE)</f>
        <v>0.19700000000000001</v>
      </c>
      <c r="L603">
        <f>VLOOKUP(A603,[1]dataset_2!B:H,3,FALSE)</f>
        <v>0.86</v>
      </c>
      <c r="M603">
        <f>VLOOKUP(A603,[1]dataset_2!B:H,4,FALSE)</f>
        <v>8.9599999999999999E-2</v>
      </c>
      <c r="N603">
        <f>VLOOKUP(A603,[1]dataset_2!B:H,5,FALSE)</f>
        <v>2</v>
      </c>
      <c r="O603">
        <f>VLOOKUP(A603,[1]dataset_2!B:H,6,FALSE)</f>
        <v>58</v>
      </c>
      <c r="P603">
        <f>VLOOKUP(A603,[1]dataset_2!B:H,7,FALSE)</f>
        <v>60</v>
      </c>
      <c r="Q603" t="str">
        <f t="shared" si="27"/>
        <v>Weekday</v>
      </c>
      <c r="R603" t="str">
        <f t="shared" si="28"/>
        <v>Morning</v>
      </c>
      <c r="S603" t="str">
        <f t="shared" si="29"/>
        <v>Low</v>
      </c>
    </row>
    <row r="604" spans="1:19">
      <c r="A604" s="14">
        <v>603</v>
      </c>
      <c r="B604" s="15">
        <v>40571</v>
      </c>
      <c r="C604" s="14">
        <v>1</v>
      </c>
      <c r="D604" s="14">
        <v>0</v>
      </c>
      <c r="E604" s="14">
        <v>1</v>
      </c>
      <c r="F604" s="14">
        <v>8</v>
      </c>
      <c r="G604" s="14" t="b">
        <v>0</v>
      </c>
      <c r="H604" s="14">
        <v>5</v>
      </c>
      <c r="I604" s="14">
        <v>2</v>
      </c>
      <c r="J604" s="14">
        <v>0.16</v>
      </c>
      <c r="K604">
        <f>VLOOKUP(A604,[1]dataset_2!B:H,2,FALSE)</f>
        <v>0.19700000000000001</v>
      </c>
      <c r="L604">
        <f>VLOOKUP(A604,[1]dataset_2!B:H,3,FALSE)</f>
        <v>0.86</v>
      </c>
      <c r="M604">
        <f>VLOOKUP(A604,[1]dataset_2!B:H,4,FALSE)</f>
        <v>8.9599999999999999E-2</v>
      </c>
      <c r="N604">
        <f>VLOOKUP(A604,[1]dataset_2!B:H,5,FALSE)</f>
        <v>2</v>
      </c>
      <c r="O604">
        <f>VLOOKUP(A604,[1]dataset_2!B:H,6,FALSE)</f>
        <v>155</v>
      </c>
      <c r="P604">
        <f>VLOOKUP(A604,[1]dataset_2!B:H,7,FALSE)</f>
        <v>157</v>
      </c>
      <c r="Q604" t="str">
        <f t="shared" si="27"/>
        <v>Weekday</v>
      </c>
      <c r="R604" t="str">
        <f t="shared" si="28"/>
        <v>Morning</v>
      </c>
      <c r="S604" t="str">
        <f t="shared" si="29"/>
        <v>High</v>
      </c>
    </row>
    <row r="605" spans="1:19">
      <c r="A605" s="14">
        <v>604</v>
      </c>
      <c r="B605" s="15">
        <v>40571</v>
      </c>
      <c r="C605" s="14">
        <v>1</v>
      </c>
      <c r="D605" s="14">
        <v>0</v>
      </c>
      <c r="E605" s="14">
        <v>1</v>
      </c>
      <c r="F605" s="14">
        <v>9</v>
      </c>
      <c r="G605" s="14" t="b">
        <v>0</v>
      </c>
      <c r="H605" s="14">
        <v>5</v>
      </c>
      <c r="I605" s="14">
        <v>3</v>
      </c>
      <c r="J605" s="14">
        <v>0.18</v>
      </c>
      <c r="K605">
        <f>VLOOKUP(A605,[1]dataset_2!B:H,2,FALSE)</f>
        <v>0.21210000000000001</v>
      </c>
      <c r="L605">
        <f>VLOOKUP(A605,[1]dataset_2!B:H,3,FALSE)</f>
        <v>0.86</v>
      </c>
      <c r="M605">
        <f>VLOOKUP(A605,[1]dataset_2!B:H,4,FALSE)</f>
        <v>8.9599999999999999E-2</v>
      </c>
      <c r="N605">
        <f>VLOOKUP(A605,[1]dataset_2!B:H,5,FALSE)</f>
        <v>6</v>
      </c>
      <c r="O605">
        <f>VLOOKUP(A605,[1]dataset_2!B:H,6,FALSE)</f>
        <v>95</v>
      </c>
      <c r="P605">
        <f>VLOOKUP(A605,[1]dataset_2!B:H,7,FALSE)</f>
        <v>101</v>
      </c>
      <c r="Q605" t="str">
        <f t="shared" si="27"/>
        <v>Weekday</v>
      </c>
      <c r="R605" t="str">
        <f t="shared" si="28"/>
        <v>Morning</v>
      </c>
      <c r="S605" t="str">
        <f t="shared" si="29"/>
        <v>High</v>
      </c>
    </row>
    <row r="606" spans="1:19">
      <c r="A606" s="14">
        <v>605</v>
      </c>
      <c r="B606" s="15">
        <v>40571</v>
      </c>
      <c r="C606" s="14">
        <v>1</v>
      </c>
      <c r="D606" s="14">
        <v>0</v>
      </c>
      <c r="E606" s="14">
        <v>1</v>
      </c>
      <c r="F606" s="14">
        <v>10</v>
      </c>
      <c r="G606" s="14" t="b">
        <v>0</v>
      </c>
      <c r="H606" s="14">
        <v>5</v>
      </c>
      <c r="I606" s="14">
        <v>3</v>
      </c>
      <c r="J606" s="14">
        <v>0.18</v>
      </c>
      <c r="K606">
        <f>VLOOKUP(A606,[1]dataset_2!B:H,2,FALSE)</f>
        <v>0.21210000000000001</v>
      </c>
      <c r="L606">
        <f>VLOOKUP(A606,[1]dataset_2!B:H,3,FALSE)</f>
        <v>0.86</v>
      </c>
      <c r="M606">
        <f>VLOOKUP(A606,[1]dataset_2!B:H,4,FALSE)</f>
        <v>0.1045</v>
      </c>
      <c r="N606">
        <f>VLOOKUP(A606,[1]dataset_2!B:H,5,FALSE)</f>
        <v>0</v>
      </c>
      <c r="O606">
        <f>VLOOKUP(A606,[1]dataset_2!B:H,6,FALSE)</f>
        <v>49</v>
      </c>
      <c r="P606">
        <f>VLOOKUP(A606,[1]dataset_2!B:H,7,FALSE)</f>
        <v>49</v>
      </c>
      <c r="Q606" t="str">
        <f t="shared" si="27"/>
        <v>Weekday</v>
      </c>
      <c r="R606" t="str">
        <f t="shared" si="28"/>
        <v>Morning</v>
      </c>
      <c r="S606" t="str">
        <f t="shared" si="29"/>
        <v>Low</v>
      </c>
    </row>
    <row r="607" spans="1:19">
      <c r="A607" s="14">
        <v>606</v>
      </c>
      <c r="B607" s="15">
        <v>40571</v>
      </c>
      <c r="C607" s="14">
        <v>1</v>
      </c>
      <c r="D607" s="14">
        <v>0</v>
      </c>
      <c r="E607" s="14">
        <v>1</v>
      </c>
      <c r="F607" s="14">
        <v>11</v>
      </c>
      <c r="G607" s="14" t="b">
        <v>0</v>
      </c>
      <c r="H607" s="14">
        <v>5</v>
      </c>
      <c r="I607" s="14">
        <v>3</v>
      </c>
      <c r="J607" s="14">
        <v>0.18</v>
      </c>
      <c r="K607">
        <f>VLOOKUP(A607,[1]dataset_2!B:H,2,FALSE)</f>
        <v>0.21210000000000001</v>
      </c>
      <c r="L607">
        <f>VLOOKUP(A607,[1]dataset_2!B:H,3,FALSE)</f>
        <v>0.93</v>
      </c>
      <c r="M607">
        <f>VLOOKUP(A607,[1]dataset_2!B:H,4,FALSE)</f>
        <v>0.1045</v>
      </c>
      <c r="N607">
        <f>VLOOKUP(A607,[1]dataset_2!B:H,5,FALSE)</f>
        <v>0</v>
      </c>
      <c r="O607">
        <f>VLOOKUP(A607,[1]dataset_2!B:H,6,FALSE)</f>
        <v>30</v>
      </c>
      <c r="P607">
        <f>VLOOKUP(A607,[1]dataset_2!B:H,7,FALSE)</f>
        <v>30</v>
      </c>
      <c r="Q607" t="str">
        <f t="shared" si="27"/>
        <v>Weekday</v>
      </c>
      <c r="R607" t="str">
        <f t="shared" si="28"/>
        <v>Morning</v>
      </c>
      <c r="S607" t="str">
        <f t="shared" si="29"/>
        <v>Low</v>
      </c>
    </row>
    <row r="608" spans="1:19">
      <c r="A608" s="14">
        <v>607</v>
      </c>
      <c r="B608" s="15">
        <v>40571</v>
      </c>
      <c r="C608" s="14">
        <v>1</v>
      </c>
      <c r="D608" s="14">
        <v>0</v>
      </c>
      <c r="E608" s="14">
        <v>1</v>
      </c>
      <c r="F608" s="14">
        <v>12</v>
      </c>
      <c r="G608" s="14" t="b">
        <v>0</v>
      </c>
      <c r="H608" s="14">
        <v>5</v>
      </c>
      <c r="I608" s="14">
        <v>3</v>
      </c>
      <c r="J608" s="14">
        <v>0.18</v>
      </c>
      <c r="K608">
        <f>VLOOKUP(A608,[1]dataset_2!B:H,2,FALSE)</f>
        <v>0.21210000000000001</v>
      </c>
      <c r="L608">
        <f>VLOOKUP(A608,[1]dataset_2!B:H,3,FALSE)</f>
        <v>0.93</v>
      </c>
      <c r="M608">
        <f>VLOOKUP(A608,[1]dataset_2!B:H,4,FALSE)</f>
        <v>0.1045</v>
      </c>
      <c r="N608">
        <f>VLOOKUP(A608,[1]dataset_2!B:H,5,FALSE)</f>
        <v>1</v>
      </c>
      <c r="O608">
        <f>VLOOKUP(A608,[1]dataset_2!B:H,6,FALSE)</f>
        <v>28</v>
      </c>
      <c r="P608">
        <f>VLOOKUP(A608,[1]dataset_2!B:H,7,FALSE)</f>
        <v>29</v>
      </c>
      <c r="Q608" t="str">
        <f t="shared" si="27"/>
        <v>Weekday</v>
      </c>
      <c r="R608" t="str">
        <f t="shared" si="28"/>
        <v>Afternoon</v>
      </c>
      <c r="S608" t="str">
        <f t="shared" si="29"/>
        <v>Low</v>
      </c>
    </row>
    <row r="609" spans="1:19">
      <c r="A609" s="14">
        <v>608</v>
      </c>
      <c r="B609" s="15">
        <v>40571</v>
      </c>
      <c r="C609" s="14">
        <v>1</v>
      </c>
      <c r="D609" s="14">
        <v>0</v>
      </c>
      <c r="E609" s="14">
        <v>1</v>
      </c>
      <c r="F609" s="14">
        <v>13</v>
      </c>
      <c r="G609" s="14" t="b">
        <v>0</v>
      </c>
      <c r="H609" s="14">
        <v>5</v>
      </c>
      <c r="I609" s="14">
        <v>3</v>
      </c>
      <c r="J609" s="14">
        <v>0.18</v>
      </c>
      <c r="K609">
        <f>VLOOKUP(A609,[1]dataset_2!B:H,2,FALSE)</f>
        <v>0.21210000000000001</v>
      </c>
      <c r="L609">
        <f>VLOOKUP(A609,[1]dataset_2!B:H,3,FALSE)</f>
        <v>0.93</v>
      </c>
      <c r="M609">
        <f>VLOOKUP(A609,[1]dataset_2!B:H,4,FALSE)</f>
        <v>0.1045</v>
      </c>
      <c r="N609">
        <f>VLOOKUP(A609,[1]dataset_2!B:H,5,FALSE)</f>
        <v>0</v>
      </c>
      <c r="O609">
        <f>VLOOKUP(A609,[1]dataset_2!B:H,6,FALSE)</f>
        <v>31</v>
      </c>
      <c r="P609">
        <f>VLOOKUP(A609,[1]dataset_2!B:H,7,FALSE)</f>
        <v>31</v>
      </c>
      <c r="Q609" t="str">
        <f t="shared" si="27"/>
        <v>Weekday</v>
      </c>
      <c r="R609" t="str">
        <f t="shared" si="28"/>
        <v>Afternoon</v>
      </c>
      <c r="S609" t="str">
        <f t="shared" si="29"/>
        <v>Low</v>
      </c>
    </row>
    <row r="610" spans="1:19">
      <c r="A610" s="14">
        <v>609</v>
      </c>
      <c r="B610" s="15">
        <v>40571</v>
      </c>
      <c r="C610" s="14">
        <v>1</v>
      </c>
      <c r="D610" s="14">
        <v>0</v>
      </c>
      <c r="E610" s="14">
        <v>1</v>
      </c>
      <c r="F610" s="14">
        <v>14</v>
      </c>
      <c r="G610" s="14" t="b">
        <v>0</v>
      </c>
      <c r="H610" s="14">
        <v>5</v>
      </c>
      <c r="I610" s="14">
        <v>3</v>
      </c>
      <c r="J610" s="14">
        <v>0.22</v>
      </c>
      <c r="K610">
        <f>VLOOKUP(A610,[1]dataset_2!B:H,2,FALSE)</f>
        <v>0.2727</v>
      </c>
      <c r="L610">
        <f>VLOOKUP(A610,[1]dataset_2!B:H,3,FALSE)</f>
        <v>0.8</v>
      </c>
      <c r="M610">
        <f>VLOOKUP(A610,[1]dataset_2!B:H,4,FALSE)</f>
        <v>0</v>
      </c>
      <c r="N610">
        <f>VLOOKUP(A610,[1]dataset_2!B:H,5,FALSE)</f>
        <v>2</v>
      </c>
      <c r="O610">
        <f>VLOOKUP(A610,[1]dataset_2!B:H,6,FALSE)</f>
        <v>36</v>
      </c>
      <c r="P610">
        <f>VLOOKUP(A610,[1]dataset_2!B:H,7,FALSE)</f>
        <v>38</v>
      </c>
      <c r="Q610" t="str">
        <f t="shared" si="27"/>
        <v>Weekday</v>
      </c>
      <c r="R610" t="str">
        <f t="shared" si="28"/>
        <v>Afternoon</v>
      </c>
      <c r="S610" t="str">
        <f t="shared" si="29"/>
        <v>Low</v>
      </c>
    </row>
    <row r="611" spans="1:19">
      <c r="A611" s="14">
        <v>610</v>
      </c>
      <c r="B611" s="15">
        <v>40571</v>
      </c>
      <c r="C611" s="14">
        <v>1</v>
      </c>
      <c r="D611" s="14">
        <v>0</v>
      </c>
      <c r="E611" s="14">
        <v>1</v>
      </c>
      <c r="F611" s="14">
        <v>15</v>
      </c>
      <c r="G611" s="14" t="b">
        <v>0</v>
      </c>
      <c r="H611" s="14">
        <v>5</v>
      </c>
      <c r="I611" s="14">
        <v>2</v>
      </c>
      <c r="J611" s="14">
        <v>0.2</v>
      </c>
      <c r="K611">
        <f>VLOOKUP(A611,[1]dataset_2!B:H,2,FALSE)</f>
        <v>0.2576</v>
      </c>
      <c r="L611">
        <f>VLOOKUP(A611,[1]dataset_2!B:H,3,FALSE)</f>
        <v>0.86</v>
      </c>
      <c r="M611">
        <f>VLOOKUP(A611,[1]dataset_2!B:H,4,FALSE)</f>
        <v>0</v>
      </c>
      <c r="N611">
        <f>VLOOKUP(A611,[1]dataset_2!B:H,5,FALSE)</f>
        <v>1</v>
      </c>
      <c r="O611">
        <f>VLOOKUP(A611,[1]dataset_2!B:H,6,FALSE)</f>
        <v>40</v>
      </c>
      <c r="P611">
        <f>VLOOKUP(A611,[1]dataset_2!B:H,7,FALSE)</f>
        <v>41</v>
      </c>
      <c r="Q611" t="str">
        <f t="shared" si="27"/>
        <v>Weekday</v>
      </c>
      <c r="R611" t="str">
        <f t="shared" si="28"/>
        <v>Afternoon</v>
      </c>
      <c r="S611" t="str">
        <f t="shared" si="29"/>
        <v>Low</v>
      </c>
    </row>
  </sheetData>
  <conditionalFormatting sqref="P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2"/>
  <sheetViews>
    <sheetView tabSelected="1" zoomScale="66" zoomScaleNormal="66" workbookViewId="0">
      <selection activeCell="R27" sqref="R27"/>
    </sheetView>
  </sheetViews>
  <sheetFormatPr defaultColWidth="9" defaultRowHeight="14.4"/>
  <cols>
    <col min="1" max="1" width="16.109375" customWidth="1"/>
    <col min="2" max="2" width="15.77734375" customWidth="1"/>
    <col min="3" max="3" width="17.77734375" customWidth="1"/>
    <col min="5" max="5" width="14.21875" customWidth="1"/>
    <col min="7" max="7" width="12" customWidth="1"/>
  </cols>
  <sheetData>
    <row r="1" spans="1:7" ht="18">
      <c r="A1" s="6" t="s">
        <v>19</v>
      </c>
      <c r="B1" s="7"/>
      <c r="C1" s="7" t="s">
        <v>20</v>
      </c>
      <c r="D1" s="7"/>
      <c r="E1" s="7" t="s">
        <v>21</v>
      </c>
      <c r="F1" s="7"/>
      <c r="G1" s="8" t="s">
        <v>22</v>
      </c>
    </row>
    <row r="2" spans="1:7" ht="18">
      <c r="A2" s="9">
        <f>SUM(clean_data!P:P)</f>
        <v>33898</v>
      </c>
      <c r="B2" s="10"/>
      <c r="C2" s="10">
        <f>AVERAGE(clean_data!P:P)</f>
        <v>55.570491803278699</v>
      </c>
      <c r="D2" s="10"/>
      <c r="E2" s="10">
        <f>MAX(clean_data!P:P)</f>
        <v>249</v>
      </c>
      <c r="F2" s="10"/>
      <c r="G2" s="11">
        <f>INDEX(clean_data!F:F,MATCH(MAX(clean_data!P:P),clean_data!P:P,0))</f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RefreshReport">
                <anchor moveWithCells="1">
                  <from>
                    <xdr:col>8</xdr:col>
                    <xdr:colOff>160020</xdr:colOff>
                    <xdr:row>27</xdr:row>
                    <xdr:rowOff>60960</xdr:rowOff>
                  </from>
                  <to>
                    <xdr:col>10</xdr:col>
                    <xdr:colOff>312420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B8"/>
  <sheetViews>
    <sheetView workbookViewId="0">
      <selection activeCell="M15" sqref="M15"/>
    </sheetView>
  </sheetViews>
  <sheetFormatPr defaultColWidth="9" defaultRowHeight="14.4"/>
  <cols>
    <col min="1" max="1" width="12" customWidth="1"/>
    <col min="2" max="2" width="10.109375" customWidth="1"/>
  </cols>
  <sheetData>
    <row r="3" spans="1:2">
      <c r="A3" t="s">
        <v>8</v>
      </c>
      <c r="B3" t="s">
        <v>23</v>
      </c>
    </row>
    <row r="4" spans="1:2">
      <c r="A4" s="5">
        <v>1</v>
      </c>
      <c r="B4">
        <v>21973</v>
      </c>
    </row>
    <row r="5" spans="1:2">
      <c r="A5" s="5">
        <v>2</v>
      </c>
      <c r="B5">
        <v>10426</v>
      </c>
    </row>
    <row r="6" spans="1:2">
      <c r="A6" s="5">
        <v>3</v>
      </c>
      <c r="B6">
        <v>1463</v>
      </c>
    </row>
    <row r="7" spans="1:2">
      <c r="A7" s="5">
        <v>4</v>
      </c>
      <c r="B7">
        <v>36</v>
      </c>
    </row>
    <row r="8" spans="1:2">
      <c r="A8" s="5" t="s">
        <v>24</v>
      </c>
      <c r="B8">
        <v>33898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3:B28"/>
  <sheetViews>
    <sheetView zoomScale="81" zoomScaleNormal="81" workbookViewId="0">
      <selection activeCell="N12" sqref="N12"/>
    </sheetView>
  </sheetViews>
  <sheetFormatPr defaultColWidth="9" defaultRowHeight="14.4"/>
  <cols>
    <col min="1" max="1" width="10.77734375" customWidth="1"/>
    <col min="2" max="2" width="10.109375" customWidth="1"/>
  </cols>
  <sheetData>
    <row r="3" spans="1:2">
      <c r="A3" t="s">
        <v>5</v>
      </c>
      <c r="B3" t="s">
        <v>23</v>
      </c>
    </row>
    <row r="4" spans="1:2">
      <c r="A4" s="5">
        <v>0</v>
      </c>
      <c r="B4">
        <v>370</v>
      </c>
    </row>
    <row r="5" spans="1:2">
      <c r="A5" s="5">
        <v>1</v>
      </c>
      <c r="B5">
        <v>239</v>
      </c>
    </row>
    <row r="6" spans="1:2">
      <c r="A6" s="5">
        <v>2</v>
      </c>
      <c r="B6">
        <v>170</v>
      </c>
    </row>
    <row r="7" spans="1:2">
      <c r="A7" s="5">
        <v>3</v>
      </c>
      <c r="B7">
        <v>76</v>
      </c>
    </row>
    <row r="8" spans="1:2">
      <c r="A8" s="5">
        <v>4</v>
      </c>
      <c r="B8">
        <v>38</v>
      </c>
    </row>
    <row r="9" spans="1:2">
      <c r="A9" s="5">
        <v>5</v>
      </c>
      <c r="B9">
        <v>95</v>
      </c>
    </row>
    <row r="10" spans="1:2">
      <c r="A10" s="5">
        <v>6</v>
      </c>
      <c r="B10">
        <v>476</v>
      </c>
    </row>
    <row r="11" spans="1:2">
      <c r="A11" s="5">
        <v>7</v>
      </c>
      <c r="B11">
        <v>1393</v>
      </c>
    </row>
    <row r="12" spans="1:2">
      <c r="A12" s="5">
        <v>8</v>
      </c>
      <c r="B12">
        <v>3318</v>
      </c>
    </row>
    <row r="13" spans="1:2">
      <c r="A13" s="5">
        <v>9</v>
      </c>
      <c r="B13">
        <v>2196</v>
      </c>
    </row>
    <row r="14" spans="1:2">
      <c r="A14" s="5">
        <v>10</v>
      </c>
      <c r="B14">
        <v>1301</v>
      </c>
    </row>
    <row r="15" spans="1:2">
      <c r="A15" s="5">
        <v>11</v>
      </c>
      <c r="B15">
        <v>1455</v>
      </c>
    </row>
    <row r="16" spans="1:2">
      <c r="A16" s="5">
        <v>12</v>
      </c>
      <c r="B16">
        <v>1936</v>
      </c>
    </row>
    <row r="17" spans="1:2">
      <c r="A17" s="5">
        <v>13</v>
      </c>
      <c r="B17">
        <v>2015</v>
      </c>
    </row>
    <row r="18" spans="1:2">
      <c r="A18" s="5">
        <v>14</v>
      </c>
      <c r="B18">
        <v>1827</v>
      </c>
    </row>
    <row r="19" spans="1:2">
      <c r="A19" s="5">
        <v>15</v>
      </c>
      <c r="B19">
        <v>1934</v>
      </c>
    </row>
    <row r="20" spans="1:2">
      <c r="A20" s="5">
        <v>16</v>
      </c>
      <c r="B20">
        <v>2200</v>
      </c>
    </row>
    <row r="21" spans="1:2">
      <c r="A21" s="5">
        <v>17</v>
      </c>
      <c r="B21">
        <v>3550</v>
      </c>
    </row>
    <row r="22" spans="1:2">
      <c r="A22" s="5">
        <v>18</v>
      </c>
      <c r="B22">
        <v>3082</v>
      </c>
    </row>
    <row r="23" spans="1:2">
      <c r="A23" s="5">
        <v>19</v>
      </c>
      <c r="B23">
        <v>2213</v>
      </c>
    </row>
    <row r="24" spans="1:2">
      <c r="A24" s="5">
        <v>20</v>
      </c>
      <c r="B24">
        <v>1541</v>
      </c>
    </row>
    <row r="25" spans="1:2">
      <c r="A25" s="5">
        <v>21</v>
      </c>
      <c r="B25">
        <v>1075</v>
      </c>
    </row>
    <row r="26" spans="1:2">
      <c r="A26" s="5">
        <v>22</v>
      </c>
      <c r="B26">
        <v>838</v>
      </c>
    </row>
    <row r="27" spans="1:2">
      <c r="A27" s="5">
        <v>23</v>
      </c>
      <c r="B27">
        <v>560</v>
      </c>
    </row>
    <row r="28" spans="1:2">
      <c r="A28" s="5" t="s">
        <v>24</v>
      </c>
      <c r="B28">
        <v>33898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3:B36"/>
  <sheetViews>
    <sheetView zoomScale="68" zoomScaleNormal="68" workbookViewId="0">
      <selection activeCell="J31" sqref="J31"/>
    </sheetView>
  </sheetViews>
  <sheetFormatPr defaultColWidth="9" defaultRowHeight="14.4"/>
  <cols>
    <col min="1" max="1" width="11.33203125" customWidth="1"/>
    <col min="2" max="2" width="17.21875" customWidth="1"/>
  </cols>
  <sheetData>
    <row r="3" spans="1:2">
      <c r="A3" t="s">
        <v>25</v>
      </c>
      <c r="B3" t="s">
        <v>26</v>
      </c>
    </row>
    <row r="4" spans="1:2">
      <c r="A4" s="5">
        <v>0</v>
      </c>
      <c r="B4">
        <v>3128</v>
      </c>
    </row>
    <row r="5" spans="1:2">
      <c r="A5" s="5">
        <v>1</v>
      </c>
      <c r="B5">
        <v>3345</v>
      </c>
    </row>
    <row r="6" spans="1:2">
      <c r="A6" s="5">
        <v>2</v>
      </c>
      <c r="B6">
        <v>3301</v>
      </c>
    </row>
    <row r="7" spans="1:2">
      <c r="A7" s="5">
        <v>3</v>
      </c>
      <c r="B7">
        <v>3679</v>
      </c>
    </row>
    <row r="8" spans="1:2">
      <c r="A8" s="5">
        <v>4</v>
      </c>
      <c r="B8">
        <v>2505</v>
      </c>
    </row>
    <row r="9" spans="1:2">
      <c r="A9" s="5">
        <v>5</v>
      </c>
      <c r="B9">
        <v>2469</v>
      </c>
    </row>
    <row r="10" spans="1:2">
      <c r="A10" s="5">
        <v>6</v>
      </c>
      <c r="B10">
        <v>2125</v>
      </c>
    </row>
    <row r="11" spans="1:2">
      <c r="A11" s="5">
        <v>7</v>
      </c>
      <c r="B11">
        <v>1898</v>
      </c>
    </row>
    <row r="12" spans="1:2">
      <c r="A12" s="5">
        <v>8</v>
      </c>
      <c r="B12">
        <v>1302</v>
      </c>
    </row>
    <row r="13" spans="1:2">
      <c r="A13" s="5">
        <v>9</v>
      </c>
      <c r="B13">
        <v>1181</v>
      </c>
    </row>
    <row r="14" spans="1:2">
      <c r="A14" s="5">
        <v>10</v>
      </c>
      <c r="B14">
        <v>940</v>
      </c>
    </row>
    <row r="15" spans="1:2">
      <c r="A15" s="5">
        <v>11</v>
      </c>
      <c r="B15">
        <v>865</v>
      </c>
    </row>
    <row r="16" spans="1:2">
      <c r="A16" s="5">
        <v>12</v>
      </c>
      <c r="B16">
        <v>643</v>
      </c>
    </row>
    <row r="17" spans="1:2">
      <c r="A17" s="5">
        <v>13</v>
      </c>
      <c r="B17">
        <v>404</v>
      </c>
    </row>
    <row r="18" spans="1:2">
      <c r="A18" s="5">
        <v>14</v>
      </c>
      <c r="B18">
        <v>475</v>
      </c>
    </row>
    <row r="19" spans="1:2">
      <c r="A19" s="5">
        <v>15</v>
      </c>
      <c r="B19">
        <v>287</v>
      </c>
    </row>
    <row r="20" spans="1:2">
      <c r="A20" s="5">
        <v>16</v>
      </c>
      <c r="B20">
        <v>204</v>
      </c>
    </row>
    <row r="21" spans="1:2">
      <c r="A21" s="5">
        <v>17</v>
      </c>
      <c r="B21">
        <v>141</v>
      </c>
    </row>
    <row r="22" spans="1:2">
      <c r="A22" s="5">
        <v>18</v>
      </c>
      <c r="B22">
        <v>133</v>
      </c>
    </row>
    <row r="23" spans="1:2">
      <c r="A23" s="5">
        <v>19</v>
      </c>
      <c r="B23">
        <v>103</v>
      </c>
    </row>
    <row r="24" spans="1:2">
      <c r="A24" s="5">
        <v>20</v>
      </c>
      <c r="B24">
        <v>263</v>
      </c>
    </row>
    <row r="25" spans="1:2">
      <c r="A25" s="5">
        <v>21</v>
      </c>
      <c r="B25">
        <v>480</v>
      </c>
    </row>
    <row r="26" spans="1:2">
      <c r="A26" s="5">
        <v>22</v>
      </c>
      <c r="B26">
        <v>223</v>
      </c>
    </row>
    <row r="27" spans="1:2">
      <c r="A27" s="5">
        <v>23</v>
      </c>
      <c r="B27">
        <v>247</v>
      </c>
    </row>
    <row r="28" spans="1:2">
      <c r="A28" s="5">
        <v>24</v>
      </c>
      <c r="B28">
        <v>92</v>
      </c>
    </row>
    <row r="29" spans="1:2">
      <c r="A29" s="5">
        <v>26</v>
      </c>
      <c r="B29">
        <v>122</v>
      </c>
    </row>
    <row r="30" spans="1:2">
      <c r="A30" s="5">
        <v>29</v>
      </c>
      <c r="B30">
        <v>184</v>
      </c>
    </row>
    <row r="31" spans="1:2">
      <c r="A31" s="5">
        <v>33</v>
      </c>
      <c r="B31">
        <v>95</v>
      </c>
    </row>
    <row r="32" spans="1:2">
      <c r="A32" s="5">
        <v>35</v>
      </c>
      <c r="B32">
        <v>149</v>
      </c>
    </row>
    <row r="33" spans="1:2">
      <c r="A33" s="5">
        <v>40</v>
      </c>
      <c r="B33">
        <v>70</v>
      </c>
    </row>
    <row r="34" spans="1:2">
      <c r="A34" s="5">
        <v>41</v>
      </c>
      <c r="B34">
        <v>52</v>
      </c>
    </row>
    <row r="35" spans="1:2">
      <c r="A35" s="5">
        <v>47</v>
      </c>
      <c r="B35">
        <v>47</v>
      </c>
    </row>
    <row r="36" spans="1:2">
      <c r="A36" s="5" t="s">
        <v>24</v>
      </c>
      <c r="B36">
        <v>31152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E71"/>
  <sheetViews>
    <sheetView topLeftCell="A12" zoomScale="62" zoomScaleNormal="62" workbookViewId="0">
      <selection activeCell="V25" sqref="V25"/>
    </sheetView>
  </sheetViews>
  <sheetFormatPr defaultColWidth="9" defaultRowHeight="14.4"/>
  <cols>
    <col min="1" max="1" width="10.33203125" customWidth="1"/>
    <col min="2" max="2" width="9" customWidth="1"/>
    <col min="3" max="3" width="13.88671875" customWidth="1"/>
    <col min="4" max="4" width="28" customWidth="1"/>
    <col min="5" max="5" width="28.109375" customWidth="1"/>
  </cols>
  <sheetData>
    <row r="1" spans="1:5">
      <c r="A1" t="s">
        <v>1</v>
      </c>
      <c r="B1" t="s">
        <v>15</v>
      </c>
      <c r="C1" t="s">
        <v>27</v>
      </c>
      <c r="D1" t="s">
        <v>28</v>
      </c>
      <c r="E1" t="s">
        <v>29</v>
      </c>
    </row>
    <row r="2" spans="1:5">
      <c r="A2" s="3">
        <v>40544</v>
      </c>
      <c r="B2">
        <v>41.0416666666667</v>
      </c>
    </row>
    <row r="3" spans="1:5">
      <c r="A3" s="3">
        <v>40545</v>
      </c>
      <c r="B3">
        <v>34.826086956521699</v>
      </c>
    </row>
    <row r="4" spans="1:5">
      <c r="A4" s="3">
        <v>40546</v>
      </c>
      <c r="B4">
        <v>61.318181818181799</v>
      </c>
    </row>
    <row r="5" spans="1:5">
      <c r="A5" s="3">
        <v>40547</v>
      </c>
      <c r="B5">
        <v>67.913043478260903</v>
      </c>
    </row>
    <row r="6" spans="1:5">
      <c r="A6" s="3">
        <v>40548</v>
      </c>
      <c r="B6">
        <v>69.565217391304301</v>
      </c>
    </row>
    <row r="7" spans="1:5">
      <c r="A7" s="3">
        <v>40549</v>
      </c>
      <c r="B7">
        <v>69.826086956521706</v>
      </c>
    </row>
    <row r="8" spans="1:5">
      <c r="A8" s="3">
        <v>40550</v>
      </c>
      <c r="B8">
        <v>65.652173913043498</v>
      </c>
    </row>
    <row r="9" spans="1:5">
      <c r="A9" s="3">
        <v>40551</v>
      </c>
      <c r="B9">
        <v>39.9583333333333</v>
      </c>
    </row>
    <row r="10" spans="1:5">
      <c r="A10" s="3">
        <v>40552</v>
      </c>
      <c r="B10">
        <v>34.25</v>
      </c>
    </row>
    <row r="11" spans="1:5">
      <c r="A11" s="3">
        <v>40553</v>
      </c>
      <c r="B11">
        <v>55.0416666666667</v>
      </c>
    </row>
    <row r="12" spans="1:5">
      <c r="A12" s="3">
        <v>40554</v>
      </c>
      <c r="B12">
        <v>57.409090909090899</v>
      </c>
    </row>
    <row r="13" spans="1:5">
      <c r="A13" s="3">
        <v>40555</v>
      </c>
      <c r="B13">
        <v>52.818181818181799</v>
      </c>
    </row>
    <row r="14" spans="1:5">
      <c r="A14" s="3">
        <v>40556</v>
      </c>
      <c r="B14">
        <v>58.5833333333333</v>
      </c>
    </row>
    <row r="15" spans="1:5">
      <c r="A15" s="3">
        <v>40557</v>
      </c>
      <c r="B15">
        <v>61.7826086956522</v>
      </c>
    </row>
    <row r="16" spans="1:5">
      <c r="A16" s="3">
        <v>40558</v>
      </c>
      <c r="B16">
        <v>52</v>
      </c>
    </row>
    <row r="17" spans="1:5">
      <c r="A17" s="3">
        <v>40559</v>
      </c>
      <c r="B17">
        <v>50.1666666666667</v>
      </c>
    </row>
    <row r="18" spans="1:5">
      <c r="A18" s="3">
        <v>40560</v>
      </c>
      <c r="B18">
        <v>41.6666666666667</v>
      </c>
    </row>
    <row r="19" spans="1:5">
      <c r="A19" s="3">
        <v>40561</v>
      </c>
      <c r="B19">
        <v>56.9166666666667</v>
      </c>
    </row>
    <row r="20" spans="1:5">
      <c r="A20" s="3">
        <v>40562</v>
      </c>
      <c r="B20">
        <v>71.739130434782595</v>
      </c>
    </row>
    <row r="21" spans="1:5">
      <c r="A21" s="3">
        <v>40563</v>
      </c>
      <c r="B21">
        <v>80.2916666666667</v>
      </c>
    </row>
    <row r="22" spans="1:5">
      <c r="A22" s="3">
        <v>40564</v>
      </c>
      <c r="B22">
        <v>64.2916666666667</v>
      </c>
    </row>
    <row r="23" spans="1:5">
      <c r="A23" s="3">
        <v>40565</v>
      </c>
      <c r="B23">
        <v>42.652173913043498</v>
      </c>
    </row>
    <row r="24" spans="1:5">
      <c r="A24" s="3">
        <v>40566</v>
      </c>
      <c r="B24">
        <v>42.869565217391298</v>
      </c>
    </row>
    <row r="25" spans="1:5">
      <c r="A25" s="3">
        <v>40567</v>
      </c>
      <c r="B25">
        <v>61.565217391304401</v>
      </c>
    </row>
    <row r="26" spans="1:5">
      <c r="A26" s="3">
        <v>40568</v>
      </c>
      <c r="B26">
        <v>86.304347826086996</v>
      </c>
    </row>
    <row r="27" spans="1:5">
      <c r="A27" s="3">
        <v>40569</v>
      </c>
      <c r="B27">
        <v>31.625</v>
      </c>
    </row>
    <row r="28" spans="1:5">
      <c r="A28" s="3">
        <v>40570</v>
      </c>
      <c r="B28">
        <v>53.875</v>
      </c>
    </row>
    <row r="29" spans="1:5">
      <c r="A29" s="3">
        <v>40571</v>
      </c>
      <c r="B29">
        <v>38.066666666666698</v>
      </c>
      <c r="C29">
        <v>38.066666666666698</v>
      </c>
      <c r="D29" s="4">
        <v>38.066666666666698</v>
      </c>
      <c r="E29" s="4">
        <v>38.066666666666698</v>
      </c>
    </row>
    <row r="30" spans="1:5">
      <c r="A30" s="3">
        <v>40572</v>
      </c>
      <c r="C30">
        <f t="shared" ref="C30:C71" si="0">_xlfn.FORECAST.ETS(A30,$B$2:$B$29,$A$2:$A$29,1,1)</f>
        <v>40.024790724090103</v>
      </c>
      <c r="D30" s="4">
        <f t="shared" ref="D30:D71" si="1">C30-_xlfn.FORECAST.ETS.CONFINT(A30,$B$2:$B$29,$A$2:$A$29,0.95,1,1)</f>
        <v>17.444044283269601</v>
      </c>
      <c r="E30" s="4">
        <f t="shared" ref="E30:E71" si="2">C30+_xlfn.FORECAST.ETS.CONFINT(A30,$B$2:$B$29,$A$2:$A$29,0.95,1,1)</f>
        <v>62.6055371649107</v>
      </c>
    </row>
    <row r="31" spans="1:5">
      <c r="A31" s="3">
        <v>40573</v>
      </c>
      <c r="C31">
        <f t="shared" si="0"/>
        <v>35.874001603077801</v>
      </c>
      <c r="D31" s="4">
        <f t="shared" si="1"/>
        <v>13.1118811525136</v>
      </c>
      <c r="E31" s="4">
        <f t="shared" si="2"/>
        <v>58.636122053641998</v>
      </c>
    </row>
    <row r="32" spans="1:5">
      <c r="A32" s="3">
        <v>40574</v>
      </c>
      <c r="C32">
        <f t="shared" si="0"/>
        <v>52.697995185828802</v>
      </c>
      <c r="D32" s="4">
        <f t="shared" si="1"/>
        <v>29.7531010486714</v>
      </c>
      <c r="E32" s="4">
        <f t="shared" si="2"/>
        <v>75.642889322986207</v>
      </c>
    </row>
    <row r="33" spans="1:5">
      <c r="A33" s="3">
        <v>40575</v>
      </c>
      <c r="C33">
        <f t="shared" si="0"/>
        <v>56.5487985213773</v>
      </c>
      <c r="D33" s="4">
        <f t="shared" si="1"/>
        <v>33.419742157510001</v>
      </c>
      <c r="E33" s="4">
        <f t="shared" si="2"/>
        <v>79.677854885244599</v>
      </c>
    </row>
    <row r="34" spans="1:5">
      <c r="A34" s="3">
        <v>40576</v>
      </c>
      <c r="C34">
        <f t="shared" si="0"/>
        <v>54.010119527889799</v>
      </c>
      <c r="D34" s="4">
        <f t="shared" si="1"/>
        <v>30.695523431474399</v>
      </c>
      <c r="E34" s="4">
        <f t="shared" si="2"/>
        <v>77.324715624305099</v>
      </c>
    </row>
    <row r="35" spans="1:5">
      <c r="A35" s="3">
        <v>40577</v>
      </c>
      <c r="C35">
        <f t="shared" si="0"/>
        <v>57.339428082721298</v>
      </c>
      <c r="D35" s="4">
        <f t="shared" si="1"/>
        <v>33.8379256772646</v>
      </c>
      <c r="E35" s="4">
        <f t="shared" si="2"/>
        <v>80.840930488178003</v>
      </c>
    </row>
    <row r="36" spans="1:5">
      <c r="A36" s="3">
        <v>40578</v>
      </c>
      <c r="C36">
        <f t="shared" si="0"/>
        <v>56.006038105996701</v>
      </c>
      <c r="D36" s="4">
        <f t="shared" si="1"/>
        <v>32.3162736371956</v>
      </c>
      <c r="E36" s="4">
        <f t="shared" si="2"/>
        <v>79.695802574797796</v>
      </c>
    </row>
    <row r="37" spans="1:5">
      <c r="A37" s="3">
        <v>40579</v>
      </c>
      <c r="C37">
        <f t="shared" si="0"/>
        <v>38.785363455111103</v>
      </c>
      <c r="D37" s="4">
        <f t="shared" si="1"/>
        <v>14.9031414605126</v>
      </c>
      <c r="E37" s="4">
        <f t="shared" si="2"/>
        <v>62.667585449709499</v>
      </c>
    </row>
    <row r="38" spans="1:5">
      <c r="A38" s="3">
        <v>40580</v>
      </c>
      <c r="C38">
        <f t="shared" si="0"/>
        <v>34.634574334098801</v>
      </c>
      <c r="D38" s="4">
        <f t="shared" si="1"/>
        <v>10.561433404604401</v>
      </c>
      <c r="E38" s="4">
        <f t="shared" si="2"/>
        <v>58.707715263593101</v>
      </c>
    </row>
    <row r="39" spans="1:5">
      <c r="A39" s="3">
        <v>40581</v>
      </c>
      <c r="C39">
        <f t="shared" si="0"/>
        <v>51.458567916849702</v>
      </c>
      <c r="D39" s="4">
        <f t="shared" si="1"/>
        <v>27.193183900460301</v>
      </c>
      <c r="E39" s="4">
        <f t="shared" si="2"/>
        <v>75.723951933239206</v>
      </c>
    </row>
    <row r="40" spans="1:5">
      <c r="A40" s="3">
        <v>40582</v>
      </c>
      <c r="C40">
        <f t="shared" si="0"/>
        <v>55.3093712523983</v>
      </c>
      <c r="D40" s="4">
        <f t="shared" si="1"/>
        <v>30.850430373158101</v>
      </c>
      <c r="E40" s="4">
        <f t="shared" si="2"/>
        <v>79.768312131638396</v>
      </c>
    </row>
    <row r="41" spans="1:5">
      <c r="A41" s="3">
        <v>40583</v>
      </c>
      <c r="C41">
        <f t="shared" si="0"/>
        <v>52.770692258910699</v>
      </c>
      <c r="D41" s="4">
        <f t="shared" si="1"/>
        <v>28.1168910021985</v>
      </c>
      <c r="E41" s="4">
        <f t="shared" si="2"/>
        <v>77.424493515622899</v>
      </c>
    </row>
    <row r="42" spans="1:5">
      <c r="A42" s="3">
        <v>40584</v>
      </c>
      <c r="C42">
        <f t="shared" si="0"/>
        <v>56.100000813742199</v>
      </c>
      <c r="D42" s="4">
        <f t="shared" si="1"/>
        <v>31.250045810624702</v>
      </c>
      <c r="E42" s="4">
        <f t="shared" si="2"/>
        <v>80.949955816859699</v>
      </c>
    </row>
    <row r="43" spans="1:5">
      <c r="A43" s="3">
        <v>40585</v>
      </c>
      <c r="C43">
        <f t="shared" si="0"/>
        <v>54.766610837017602</v>
      </c>
      <c r="D43" s="4">
        <f t="shared" si="1"/>
        <v>29.719218747842302</v>
      </c>
      <c r="E43" s="4">
        <f t="shared" si="2"/>
        <v>79.814002926192998</v>
      </c>
    </row>
    <row r="44" spans="1:5">
      <c r="A44" s="3">
        <v>40586</v>
      </c>
      <c r="C44">
        <f t="shared" si="0"/>
        <v>37.545936186132003</v>
      </c>
      <c r="D44" s="4">
        <f t="shared" si="1"/>
        <v>12.2969960946686</v>
      </c>
      <c r="E44" s="4">
        <f t="shared" si="2"/>
        <v>62.794876277595399</v>
      </c>
    </row>
    <row r="45" spans="1:5">
      <c r="A45" s="3">
        <v>40587</v>
      </c>
      <c r="C45">
        <f t="shared" si="0"/>
        <v>33.395147065119701</v>
      </c>
      <c r="D45" s="4">
        <f t="shared" si="1"/>
        <v>7.9462551242957602</v>
      </c>
      <c r="E45" s="4">
        <f t="shared" si="2"/>
        <v>58.8440390059436</v>
      </c>
    </row>
    <row r="46" spans="1:5">
      <c r="A46" s="3">
        <v>40588</v>
      </c>
      <c r="C46">
        <f t="shared" si="0"/>
        <v>50.219140647870702</v>
      </c>
      <c r="D46" s="4">
        <f t="shared" si="1"/>
        <v>24.569042691132999</v>
      </c>
      <c r="E46" s="4">
        <f t="shared" si="2"/>
        <v>75.869238604608299</v>
      </c>
    </row>
    <row r="47" spans="1:5">
      <c r="A47" s="3">
        <v>40589</v>
      </c>
      <c r="C47">
        <f t="shared" si="0"/>
        <v>54.069943983419201</v>
      </c>
      <c r="D47" s="4">
        <f t="shared" si="1"/>
        <v>28.217395404100401</v>
      </c>
      <c r="E47" s="4">
        <f t="shared" si="2"/>
        <v>79.922492562738</v>
      </c>
    </row>
    <row r="48" spans="1:5">
      <c r="A48" s="3">
        <v>40590</v>
      </c>
      <c r="C48">
        <f t="shared" si="0"/>
        <v>51.5312649899316</v>
      </c>
      <c r="D48" s="4">
        <f t="shared" si="1"/>
        <v>25.475030623405001</v>
      </c>
      <c r="E48" s="4">
        <f t="shared" si="2"/>
        <v>77.587499356458196</v>
      </c>
    </row>
    <row r="49" spans="1:5">
      <c r="A49" s="3">
        <v>40591</v>
      </c>
      <c r="C49">
        <f t="shared" si="0"/>
        <v>54.860573544763099</v>
      </c>
      <c r="D49" s="4">
        <f t="shared" si="1"/>
        <v>28.5994275506823</v>
      </c>
      <c r="E49" s="4">
        <f t="shared" si="2"/>
        <v>81.121719538843905</v>
      </c>
    </row>
    <row r="50" spans="1:5">
      <c r="A50" s="3">
        <v>40592</v>
      </c>
      <c r="C50">
        <f t="shared" si="0"/>
        <v>53.527183568038502</v>
      </c>
      <c r="D50" s="4">
        <f t="shared" si="1"/>
        <v>27.059909312772898</v>
      </c>
      <c r="E50" s="4">
        <f t="shared" si="2"/>
        <v>79.994457823304202</v>
      </c>
    </row>
    <row r="51" spans="1:5">
      <c r="A51" s="3">
        <v>40593</v>
      </c>
      <c r="C51">
        <f t="shared" si="0"/>
        <v>36.306508917152897</v>
      </c>
      <c r="D51" s="4">
        <f t="shared" si="1"/>
        <v>9.6290795157085807</v>
      </c>
      <c r="E51" s="4">
        <f t="shared" si="2"/>
        <v>62.983938318597197</v>
      </c>
    </row>
    <row r="52" spans="1:5">
      <c r="A52" s="3">
        <v>40594</v>
      </c>
      <c r="C52">
        <f t="shared" si="0"/>
        <v>32.155719796140602</v>
      </c>
      <c r="D52" s="4">
        <f t="shared" si="1"/>
        <v>5.2697778852711599</v>
      </c>
      <c r="E52" s="4">
        <f t="shared" si="2"/>
        <v>59.04166170701</v>
      </c>
    </row>
    <row r="53" spans="1:5">
      <c r="A53" s="3">
        <v>40595</v>
      </c>
      <c r="C53">
        <f t="shared" si="0"/>
        <v>48.979713378891603</v>
      </c>
      <c r="D53" s="4">
        <f t="shared" si="1"/>
        <v>21.8840690285008</v>
      </c>
      <c r="E53" s="4">
        <f t="shared" si="2"/>
        <v>76.075357729282302</v>
      </c>
    </row>
    <row r="54" spans="1:5">
      <c r="A54" s="3">
        <v>40596</v>
      </c>
      <c r="C54">
        <f t="shared" si="0"/>
        <v>52.830516714440101</v>
      </c>
      <c r="D54" s="4">
        <f t="shared" si="1"/>
        <v>25.523988736062499</v>
      </c>
      <c r="E54" s="4">
        <f t="shared" si="2"/>
        <v>80.137044692817597</v>
      </c>
    </row>
    <row r="55" spans="1:5">
      <c r="A55" s="3">
        <v>40597</v>
      </c>
      <c r="C55">
        <f t="shared" si="0"/>
        <v>50.2918377209525</v>
      </c>
      <c r="D55" s="4">
        <f t="shared" si="1"/>
        <v>22.773253552648601</v>
      </c>
      <c r="E55" s="4">
        <f t="shared" si="2"/>
        <v>77.810421889256403</v>
      </c>
    </row>
    <row r="56" spans="1:5">
      <c r="A56" s="3">
        <v>40598</v>
      </c>
      <c r="C56">
        <f t="shared" si="0"/>
        <v>53.621146275784</v>
      </c>
      <c r="D56" s="4">
        <f t="shared" si="1"/>
        <v>25.889341867750701</v>
      </c>
      <c r="E56" s="4">
        <f t="shared" si="2"/>
        <v>81.352950683817397</v>
      </c>
    </row>
    <row r="57" spans="1:5">
      <c r="A57" s="3">
        <v>40599</v>
      </c>
      <c r="C57">
        <f t="shared" si="0"/>
        <v>52.287756299059502</v>
      </c>
      <c r="D57" s="4">
        <f t="shared" si="1"/>
        <v>24.341576000022201</v>
      </c>
      <c r="E57" s="4">
        <f t="shared" si="2"/>
        <v>80.233936598096804</v>
      </c>
    </row>
    <row r="58" spans="1:5">
      <c r="A58" s="3">
        <v>40600</v>
      </c>
      <c r="C58">
        <f t="shared" si="0"/>
        <v>35.067081648173797</v>
      </c>
      <c r="D58" s="4">
        <f t="shared" si="1"/>
        <v>6.9025808857808002</v>
      </c>
      <c r="E58" s="4">
        <f t="shared" si="2"/>
        <v>63.231582410566801</v>
      </c>
    </row>
    <row r="59" spans="1:5">
      <c r="A59" s="3">
        <v>40601</v>
      </c>
      <c r="C59">
        <f t="shared" si="0"/>
        <v>30.916292527161499</v>
      </c>
      <c r="D59" s="4">
        <f t="shared" si="1"/>
        <v>2.5351506705804998</v>
      </c>
      <c r="E59" s="4">
        <f t="shared" si="2"/>
        <v>59.297434383742498</v>
      </c>
    </row>
    <row r="60" spans="1:5">
      <c r="A60" s="3">
        <v>40602</v>
      </c>
      <c r="C60">
        <f t="shared" si="0"/>
        <v>47.740286109912503</v>
      </c>
      <c r="D60" s="4">
        <f t="shared" si="1"/>
        <v>19.1413718159036</v>
      </c>
      <c r="E60" s="4">
        <f t="shared" si="2"/>
        <v>76.339200403921396</v>
      </c>
    </row>
    <row r="61" spans="1:5">
      <c r="A61" s="3">
        <v>40603</v>
      </c>
      <c r="C61">
        <f t="shared" si="0"/>
        <v>51.591089445461002</v>
      </c>
      <c r="D61" s="4">
        <f t="shared" si="1"/>
        <v>22.773279325447799</v>
      </c>
      <c r="E61" s="4">
        <f t="shared" si="2"/>
        <v>80.408899565474201</v>
      </c>
    </row>
    <row r="62" spans="1:5">
      <c r="A62" s="3">
        <v>40604</v>
      </c>
      <c r="C62">
        <f t="shared" si="0"/>
        <v>49.052410451973401</v>
      </c>
      <c r="D62" s="4">
        <f t="shared" si="1"/>
        <v>20.014588963184099</v>
      </c>
      <c r="E62" s="4">
        <f t="shared" si="2"/>
        <v>78.090231940762806</v>
      </c>
    </row>
    <row r="63" spans="1:5">
      <c r="A63" s="3">
        <v>40605</v>
      </c>
      <c r="C63">
        <f t="shared" si="0"/>
        <v>52.381719006805</v>
      </c>
      <c r="D63" s="4">
        <f t="shared" si="1"/>
        <v>23.122778344483098</v>
      </c>
      <c r="E63" s="4">
        <f t="shared" si="2"/>
        <v>81.640659669126805</v>
      </c>
    </row>
    <row r="64" spans="1:5">
      <c r="A64" s="3">
        <v>40606</v>
      </c>
      <c r="C64">
        <f t="shared" si="0"/>
        <v>51.048329030080403</v>
      </c>
      <c r="D64" s="4">
        <f t="shared" si="1"/>
        <v>21.5671690208002</v>
      </c>
      <c r="E64" s="4">
        <f t="shared" si="2"/>
        <v>80.529489039360598</v>
      </c>
    </row>
    <row r="65" spans="1:5">
      <c r="A65" s="3">
        <v>40607</v>
      </c>
      <c r="C65">
        <f t="shared" si="0"/>
        <v>33.827654379194698</v>
      </c>
      <c r="D65" s="4">
        <f t="shared" si="1"/>
        <v>4.1204102873066404</v>
      </c>
      <c r="E65" s="4">
        <f t="shared" si="2"/>
        <v>63.534898471082798</v>
      </c>
    </row>
    <row r="66" spans="1:5">
      <c r="A66" s="3">
        <v>40608</v>
      </c>
      <c r="C66">
        <f t="shared" si="0"/>
        <v>29.676865258182399</v>
      </c>
      <c r="D66" s="4">
        <f t="shared" si="1"/>
        <v>-0.25475527224087802</v>
      </c>
      <c r="E66" s="4">
        <f t="shared" si="2"/>
        <v>59.608485788605698</v>
      </c>
    </row>
    <row r="67" spans="1:5">
      <c r="A67" s="3">
        <v>40609</v>
      </c>
      <c r="C67">
        <f t="shared" si="0"/>
        <v>46.500858840933397</v>
      </c>
      <c r="D67" s="4">
        <f t="shared" si="1"/>
        <v>16.343783752238402</v>
      </c>
      <c r="E67" s="4">
        <f t="shared" si="2"/>
        <v>76.657933929628399</v>
      </c>
    </row>
    <row r="68" spans="1:5">
      <c r="A68" s="3">
        <v>40610</v>
      </c>
      <c r="C68">
        <f t="shared" si="0"/>
        <v>50.351662176481902</v>
      </c>
      <c r="D68" s="4">
        <f t="shared" si="1"/>
        <v>19.968061627846598</v>
      </c>
      <c r="E68" s="4">
        <f t="shared" si="2"/>
        <v>80.735262725117195</v>
      </c>
    </row>
    <row r="69" spans="1:5">
      <c r="A69" s="3">
        <v>40611</v>
      </c>
      <c r="C69">
        <f t="shared" si="0"/>
        <v>47.812983182994401</v>
      </c>
      <c r="D69" s="4">
        <f t="shared" si="1"/>
        <v>17.201793390060701</v>
      </c>
      <c r="E69" s="4">
        <f t="shared" si="2"/>
        <v>78.424172975928002</v>
      </c>
    </row>
    <row r="70" spans="1:5">
      <c r="A70" s="3">
        <v>40612</v>
      </c>
      <c r="C70">
        <f t="shared" si="0"/>
        <v>51.1422917378259</v>
      </c>
      <c r="D70" s="4">
        <f t="shared" si="1"/>
        <v>20.302455934026</v>
      </c>
      <c r="E70" s="4">
        <f t="shared" si="2"/>
        <v>81.982127541625701</v>
      </c>
    </row>
    <row r="71" spans="1:5">
      <c r="A71" s="3">
        <v>40613</v>
      </c>
      <c r="C71">
        <f t="shared" si="0"/>
        <v>49.808901761101303</v>
      </c>
      <c r="D71" s="4">
        <f t="shared" si="1"/>
        <v>18.7393700993875</v>
      </c>
      <c r="E71" s="4">
        <f t="shared" si="2"/>
        <v>80.878433422815107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6"/>
  <sheetViews>
    <sheetView zoomScale="33" zoomScaleNormal="33" workbookViewId="0">
      <selection activeCell="E9" sqref="E9"/>
    </sheetView>
  </sheetViews>
  <sheetFormatPr defaultColWidth="9" defaultRowHeight="14.4"/>
  <cols>
    <col min="1" max="1" width="20.77734375" customWidth="1"/>
    <col min="2" max="2" width="41.77734375" customWidth="1"/>
    <col min="3" max="3" width="13.21875" customWidth="1"/>
  </cols>
  <sheetData>
    <row r="1" spans="1:3">
      <c r="A1" s="1" t="s">
        <v>30</v>
      </c>
      <c r="B1" s="1" t="s">
        <v>31</v>
      </c>
      <c r="C1" s="1" t="s">
        <v>30</v>
      </c>
    </row>
    <row r="2" spans="1:3" ht="24" customHeight="1">
      <c r="A2" s="2">
        <v>1</v>
      </c>
      <c r="B2" s="2" t="s">
        <v>32</v>
      </c>
      <c r="C2" s="2">
        <v>1</v>
      </c>
    </row>
    <row r="3" spans="1:3" ht="25.2" customHeight="1">
      <c r="A3" s="2">
        <v>2</v>
      </c>
      <c r="B3" s="2" t="s">
        <v>33</v>
      </c>
      <c r="C3" s="2">
        <v>2</v>
      </c>
    </row>
    <row r="4" spans="1:3" ht="28.2" customHeight="1">
      <c r="A4" s="2">
        <v>3</v>
      </c>
      <c r="B4" s="2" t="s">
        <v>34</v>
      </c>
      <c r="C4" s="2">
        <v>3</v>
      </c>
    </row>
    <row r="5" spans="1:3" ht="28.8">
      <c r="A5" s="2">
        <v>4</v>
      </c>
      <c r="B5" s="2" t="s">
        <v>35</v>
      </c>
      <c r="C5" s="2">
        <v>4</v>
      </c>
    </row>
    <row r="6" spans="1:3" ht="28.8">
      <c r="A6" s="2">
        <v>5</v>
      </c>
      <c r="B6" s="2" t="s">
        <v>36</v>
      </c>
      <c r="C6" s="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clean_data</vt:lpstr>
      <vt:lpstr>Dashboard</vt:lpstr>
      <vt:lpstr>Weather Impact</vt:lpstr>
      <vt:lpstr>Hourly Demand Analysis</vt:lpstr>
      <vt:lpstr>User Type Distribution</vt:lpstr>
      <vt:lpstr>Forecast Sheet</vt:lpstr>
      <vt:lpstr>AI_Sheet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IsHaaN SiNgH</dc:creator>
  <cp:lastModifiedBy>IsHaaN SiNgH</cp:lastModifiedBy>
  <dcterms:created xsi:type="dcterms:W3CDTF">2026-05-02T15:51:00Z</dcterms:created>
  <dcterms:modified xsi:type="dcterms:W3CDTF">2026-06-09T19:33:30Z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A7181AD4BC9A4184A84E0188C679C062_12</vt:lpwstr>
  </property>
  <property fmtid="{D5CDD505-2E9C-101B-9397-08002B2CF9AE}" pid="3" name="KSOProductBuildVer">
    <vt:lpwstr>1033-12.1.0.26369</vt:lpwstr>
  </property>
  <property fmtid="{D5CDD505-2E9C-101B-9397-08002B2CF9AE}" pid="4" name="CalculationRule">
    <vt:i4>0</vt:i4>
  </property>
</Properties>
</file>